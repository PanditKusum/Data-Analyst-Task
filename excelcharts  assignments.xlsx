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00AADDBA-BD5F-44DF-B85A-F322D4949FF9}" xr6:coauthVersionLast="47" xr6:coauthVersionMax="47" xr10:uidLastSave="{00000000-0000-0000-0000-000000000000}"/>
  <bookViews>
    <workbookView xWindow="-108" yWindow="-108" windowWidth="23256" windowHeight="12456" activeTab="1" xr2:uid="{97823653-381A-9C41-959F-08A2BA1F60FA}"/>
  </bookViews>
  <sheets>
    <sheet name="Results" sheetId="7" r:id="rId1"/>
    <sheet name="Bar Charts" sheetId="1" r:id="rId2"/>
    <sheet name="Pie Chart" sheetId="2" r:id="rId3"/>
    <sheet name="Line Chart and Combo Chart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6" i="1" l="1"/>
  <c r="T16" i="1"/>
  <c r="U16" i="1"/>
  <c r="V16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</calcChain>
</file>

<file path=xl/sharedStrings.xml><?xml version="1.0" encoding="utf-8"?>
<sst xmlns="http://schemas.openxmlformats.org/spreadsheetml/2006/main" count="221" uniqueCount="130">
  <si>
    <t>Uttar Pradesh (UP)</t>
  </si>
  <si>
    <t>Maharashtra (MH)</t>
  </si>
  <si>
    <t>Bihar (BR)</t>
  </si>
  <si>
    <t>West Bengal (WB)</t>
  </si>
  <si>
    <t>Tamil Nadu (TN)</t>
  </si>
  <si>
    <t>Madhya Pradesh (MP)</t>
  </si>
  <si>
    <t>Rajasthan (RJ)</t>
  </si>
  <si>
    <t>Gujarat (GJ)</t>
  </si>
  <si>
    <t>Karnataka (KA)</t>
  </si>
  <si>
    <t>Andhra Pradesh (AP)</t>
  </si>
  <si>
    <t>Odisha (OD)</t>
  </si>
  <si>
    <t>Arunachal Pradesh (AR)</t>
  </si>
  <si>
    <t>Telangana (TS)</t>
  </si>
  <si>
    <t>Kerala (KL)</t>
  </si>
  <si>
    <t>Jharkhand (JH)</t>
  </si>
  <si>
    <t>Punjab (PB)</t>
  </si>
  <si>
    <t>Chhattisgarh (CG)</t>
  </si>
  <si>
    <t>Haryana (HR)</t>
  </si>
  <si>
    <t>National Capital Territory of Delhi (DL)</t>
  </si>
  <si>
    <t>Jammu and Kashmir (JK)</t>
  </si>
  <si>
    <t>Uttarakhand (UK)</t>
  </si>
  <si>
    <t>Himachal Pradesh (HP)</t>
  </si>
  <si>
    <t>Tripura (TR)</t>
  </si>
  <si>
    <t>Meghalaya (ML)</t>
  </si>
  <si>
    <t>Manipur (MN)</t>
  </si>
  <si>
    <t>Nagaland (NL)</t>
  </si>
  <si>
    <t>Goa (GA)</t>
  </si>
  <si>
    <t>Mizoram (MZ)</t>
  </si>
  <si>
    <t>Chandigarh (CH)</t>
  </si>
  <si>
    <t>Sikkim (SK)</t>
  </si>
  <si>
    <t>Andaman and Nicobar (AN)</t>
  </si>
  <si>
    <t>Dadra and Nagar Haveli and Daman and Diu (DD)</t>
  </si>
  <si>
    <t>Ladakh (LA)</t>
  </si>
  <si>
    <t>Population</t>
  </si>
  <si>
    <t>State</t>
  </si>
  <si>
    <t>Revenue</t>
  </si>
  <si>
    <t>Scarlett Parker</t>
  </si>
  <si>
    <t>Willa Garcia</t>
  </si>
  <si>
    <t>Victoria Cruz</t>
  </si>
  <si>
    <t>Samuel Allen</t>
  </si>
  <si>
    <t>Noah Perry</t>
  </si>
  <si>
    <t>Zoe Brooks</t>
  </si>
  <si>
    <t>Noah Rogers</t>
  </si>
  <si>
    <t>Samuel Ortiz</t>
  </si>
  <si>
    <t>Adalynn Bailey</t>
  </si>
  <si>
    <t>Scarlett Morris</t>
  </si>
  <si>
    <t>Victoria Adams</t>
  </si>
  <si>
    <t>Joseph Ward</t>
  </si>
  <si>
    <t>Caroline Ramirez</t>
  </si>
  <si>
    <t>Isabella Cox</t>
  </si>
  <si>
    <t>Daniel Campbell</t>
  </si>
  <si>
    <t>Sienna Jackson</t>
  </si>
  <si>
    <t>Harper Hernandez</t>
  </si>
  <si>
    <t>Harper Russell</t>
  </si>
  <si>
    <t>Salesman</t>
  </si>
  <si>
    <t>Home Appliance</t>
  </si>
  <si>
    <t>Stationary</t>
  </si>
  <si>
    <t>Home Decore</t>
  </si>
  <si>
    <t>Total</t>
  </si>
  <si>
    <t>Visitors</t>
  </si>
  <si>
    <t>Months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</si>
  <si>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</si>
  <si>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</si>
  <si>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</si>
  <si>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</si>
  <si>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</si>
  <si>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</si>
  <si>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</si>
  <si>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</si>
  <si>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</si>
  <si>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</si>
  <si>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</si>
  <si>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</si>
  <si>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Food</t>
  </si>
  <si>
    <t>Entertainment</t>
  </si>
  <si>
    <t>Travel</t>
  </si>
  <si>
    <t>Rent</t>
  </si>
  <si>
    <t>Date</t>
  </si>
  <si>
    <t>Clothing</t>
  </si>
  <si>
    <t>Mobile</t>
  </si>
  <si>
    <t>Laptops</t>
  </si>
  <si>
    <t>Books</t>
  </si>
  <si>
    <t>Orders</t>
  </si>
  <si>
    <t>Party</t>
  </si>
  <si>
    <t>Votes</t>
  </si>
  <si>
    <t>Bharatiya Janata Party</t>
  </si>
  <si>
    <t>Indian National Congress</t>
  </si>
  <si>
    <t>Trinamool Congress</t>
  </si>
  <si>
    <t>Bahujan Samaj Party</t>
  </si>
  <si>
    <t>Samajwadi Party</t>
  </si>
  <si>
    <t>YSR Congress Party</t>
  </si>
  <si>
    <t>Dravida Munnetra Kazhagam</t>
  </si>
  <si>
    <t>Shiv Sena</t>
  </si>
  <si>
    <t>Telugu Desam Party</t>
  </si>
  <si>
    <t>Communist Party of India (Marxist)</t>
  </si>
  <si>
    <t>Others</t>
  </si>
  <si>
    <t>Food consumption in UK</t>
  </si>
  <si>
    <t>Fine Dine</t>
  </si>
  <si>
    <t>Self Cooking</t>
  </si>
  <si>
    <t>Online order</t>
  </si>
  <si>
    <t>Spend (euros)</t>
  </si>
  <si>
    <t>AOV</t>
  </si>
  <si>
    <t>Conversion</t>
  </si>
  <si>
    <t>Marketing Cost</t>
  </si>
  <si>
    <t>Table 1: Population</t>
  </si>
  <si>
    <t>Table 2: Sales Performance</t>
  </si>
  <si>
    <t>Table 3: Park Visitor</t>
  </si>
  <si>
    <t>Table 4: Monthly Spend Breakup</t>
  </si>
  <si>
    <t>Table 5: Category wise orders</t>
  </si>
  <si>
    <t>Table 6: Total spend breakup</t>
  </si>
  <si>
    <t>Table 7: 2019 Loksabha Elections</t>
  </si>
  <si>
    <t>Table 8: Spend on Food</t>
  </si>
  <si>
    <t>Table 8: Daily Orders</t>
  </si>
  <si>
    <t>Table 9: Orders vs AOV</t>
  </si>
  <si>
    <t>Table 10: Orders vs Conversion</t>
  </si>
  <si>
    <t>Table 11: Revenue vs Marketing Cost</t>
  </si>
  <si>
    <t>Try to replicate following views in other sheet</t>
  </si>
  <si>
    <t>Table 1 Population</t>
  </si>
  <si>
    <t>Table 2 : Sales Performance</t>
  </si>
  <si>
    <t>Table 3 Park Visitors</t>
  </si>
  <si>
    <t>Table 4    Monthly Spend  Breakup</t>
  </si>
  <si>
    <t>Table 5  Category Wise Order</t>
  </si>
  <si>
    <t>Table 6  Total Spend breakup</t>
  </si>
  <si>
    <t>Table 7  Lokshava Elections</t>
  </si>
  <si>
    <t xml:space="preserve">Table 8  Spend on Food </t>
  </si>
  <si>
    <t>Table 8  Daily Orders</t>
  </si>
  <si>
    <t xml:space="preserve">Table 9 </t>
  </si>
  <si>
    <t>Orders as AOV</t>
  </si>
  <si>
    <t>Table 10 Orders vs   Conversion</t>
  </si>
  <si>
    <t>Table 11   Revenuse vs Marketing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</si>
</sst>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.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rgb="FFEF4444"/>
      <name val="Arial"/>
      <family val="2"/>
    </font>
    <font>
      <sz val="16"/>
      <color rgb="FF374151"/>
      <name val="Arial"/>
      <family val="2"/>
    </font>
    <font>
      <sz val="8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4" fillId="0" borderId="0" xfId="0" applyFont="1"/>
    <xf numFmtId="0" fontId="5" fillId="0" borderId="0" xfId="0" applyFont="1"/>
    <xf numFmtId="165" fontId="0" fillId="0" borderId="0" xfId="0" applyNumberFormat="1"/>
    <xf numFmtId="14" fontId="0" fillId="0" borderId="0" xfId="0" applyNumberFormat="1"/>
    <xf numFmtId="3" fontId="0" fillId="0" borderId="0" xfId="0" applyNumberFormat="1"/>
    <xf numFmtId="0" fontId="0" fillId="0" borderId="1" xfId="0" applyBorder="1"/>
    <xf numFmtId="0" fontId="2" fillId="2" borderId="1" xfId="0" applyFont="1" applyFill="1" applyBorder="1"/>
    <xf numFmtId="0" fontId="2" fillId="3" borderId="1" xfId="0" applyFont="1" applyFill="1" applyBorder="1"/>
    <xf numFmtId="165" fontId="0" fillId="0" borderId="1" xfId="1" applyNumberFormat="1" applyFont="1" applyBorder="1"/>
    <xf numFmtId="0" fontId="2" fillId="4" borderId="1" xfId="0" applyFont="1" applyFill="1" applyBorder="1"/>
    <xf numFmtId="0" fontId="2" fillId="5" borderId="1" xfId="0" applyFont="1" applyFill="1" applyBorder="1"/>
    <xf numFmtId="0" fontId="7" fillId="0" borderId="0" xfId="0" applyFont="1"/>
    <xf numFmtId="0" fontId="2" fillId="6" borderId="1" xfId="0" applyFont="1" applyFill="1" applyBorder="1"/>
    <xf numFmtId="14" fontId="0" fillId="0" borderId="1" xfId="0" applyNumberFormat="1" applyBorder="1"/>
    <xf numFmtId="0" fontId="2" fillId="7" borderId="1" xfId="0" applyFont="1" applyFill="1" applyBorder="1"/>
    <xf numFmtId="0" fontId="2" fillId="8" borderId="1" xfId="0" applyFont="1" applyFill="1" applyBorder="1"/>
    <xf numFmtId="0" fontId="3" fillId="9" borderId="1" xfId="0" applyFont="1" applyFill="1" applyBorder="1"/>
    <xf numFmtId="14" fontId="0" fillId="0" borderId="5" xfId="0" applyNumberFormat="1" applyBorder="1"/>
    <xf numFmtId="0" fontId="0" fillId="0" borderId="6" xfId="0" applyBorder="1"/>
    <xf numFmtId="14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3" fillId="10" borderId="2" xfId="0" applyFont="1" applyFill="1" applyBorder="1"/>
    <xf numFmtId="0" fontId="3" fillId="10" borderId="3" xfId="0" applyFont="1" applyFill="1" applyBorder="1"/>
    <xf numFmtId="0" fontId="3" fillId="10" borderId="4" xfId="0" applyFont="1" applyFill="1" applyBorder="1"/>
    <xf numFmtId="0" fontId="0" fillId="11" borderId="1" xfId="0" applyFill="1" applyBorder="1"/>
    <xf numFmtId="0" fontId="8" fillId="11" borderId="1" xfId="0" applyFont="1" applyFill="1" applyBorder="1"/>
    <xf numFmtId="166" fontId="0" fillId="0" borderId="1" xfId="2" applyNumberFormat="1" applyFont="1" applyBorder="1"/>
    <xf numFmtId="166" fontId="0" fillId="0" borderId="0" xfId="0" applyNumberFormat="1"/>
    <xf numFmtId="0" fontId="10" fillId="0" borderId="0" xfId="0" applyFont="1"/>
    <xf numFmtId="0" fontId="3" fillId="0" borderId="0" xfId="0" applyFont="1"/>
    <xf numFmtId="0" fontId="0" fillId="0" borderId="10" xfId="0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0" fillId="0" borderId="0" xfId="0" applyFont="1" applyAlignment="1">
      <alignment horizontal="center"/>
    </xf>
    <xf numFmtId="0" fontId="9" fillId="12" borderId="0" xfId="0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Charts'!$C$3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'Bar Charts'!$B$4:$B$36</c:f>
              <c:strCache>
                <c:ptCount val="33"/>
                <c:pt idx="0">
                  <c:v>Uttar Pradesh (UP)</c:v>
                </c:pt>
                <c:pt idx="1">
                  <c:v>Maharashtra (MH)</c:v>
                </c:pt>
                <c:pt idx="2">
                  <c:v>Bihar (BR)</c:v>
                </c:pt>
                <c:pt idx="3">
                  <c:v>West Bengal (WB)</c:v>
                </c:pt>
                <c:pt idx="4">
                  <c:v>Tamil Nadu (TN)</c:v>
                </c:pt>
                <c:pt idx="5">
                  <c:v>Madhya Pradesh (MP)</c:v>
                </c:pt>
                <c:pt idx="6">
                  <c:v>Rajasthan (RJ)</c:v>
                </c:pt>
                <c:pt idx="7">
                  <c:v>Gujarat (GJ)</c:v>
                </c:pt>
                <c:pt idx="8">
                  <c:v>Karnataka (KA)</c:v>
                </c:pt>
                <c:pt idx="9">
                  <c:v>Andhra Pradesh (AP)</c:v>
                </c:pt>
                <c:pt idx="10">
                  <c:v>Odisha (OD)</c:v>
                </c:pt>
                <c:pt idx="11">
                  <c:v>Arunachal Pradesh (AR)</c:v>
                </c:pt>
                <c:pt idx="12">
                  <c:v>Telangana (TS)</c:v>
                </c:pt>
                <c:pt idx="13">
                  <c:v>Kerala (KL)</c:v>
                </c:pt>
                <c:pt idx="14">
                  <c:v>Jharkhand (JH)</c:v>
                </c:pt>
                <c:pt idx="15">
                  <c:v>Punjab (PB)</c:v>
                </c:pt>
                <c:pt idx="16">
                  <c:v>Chhattisgarh (CG)</c:v>
                </c:pt>
                <c:pt idx="17">
                  <c:v>Haryana (HR)</c:v>
                </c:pt>
                <c:pt idx="18">
                  <c:v>National Capital Territory of Delhi (DL)</c:v>
                </c:pt>
                <c:pt idx="19">
                  <c:v>Jammu and Kashmir (JK)</c:v>
                </c:pt>
                <c:pt idx="20">
                  <c:v>Uttarakhand (UK)</c:v>
                </c:pt>
                <c:pt idx="21">
                  <c:v>Himachal Pradesh (HP)</c:v>
                </c:pt>
                <c:pt idx="22">
                  <c:v>Tripura (TR)</c:v>
                </c:pt>
                <c:pt idx="23">
                  <c:v>Meghalaya (ML)</c:v>
                </c:pt>
                <c:pt idx="24">
                  <c:v>Manipur (MN)</c:v>
                </c:pt>
                <c:pt idx="25">
                  <c:v>Nagaland (NL)</c:v>
                </c:pt>
                <c:pt idx="26">
                  <c:v>Goa (GA)</c:v>
                </c:pt>
                <c:pt idx="27">
                  <c:v>Mizoram (MZ)</c:v>
                </c:pt>
                <c:pt idx="28">
                  <c:v>Chandigarh (CH)</c:v>
                </c:pt>
                <c:pt idx="29">
                  <c:v>Sikkim (SK)</c:v>
                </c:pt>
                <c:pt idx="30">
                  <c:v>Andaman and Nicobar (AN)</c:v>
                </c:pt>
                <c:pt idx="31">
                  <c:v>Dadra and Nagar Haveli and Daman and Diu (DD)</c:v>
                </c:pt>
                <c:pt idx="32">
                  <c:v>Ladakh (LA)</c:v>
                </c:pt>
              </c:strCache>
            </c:strRef>
          </c:cat>
          <c:val>
            <c:numRef>
              <c:f>'Bar Charts'!$C$4:$C$36</c:f>
              <c:numCache>
                <c:formatCode>General</c:formatCode>
                <c:ptCount val="33"/>
                <c:pt idx="0">
                  <c:v>205867440</c:v>
                </c:pt>
                <c:pt idx="1">
                  <c:v>112378989</c:v>
                </c:pt>
                <c:pt idx="2">
                  <c:v>103817951</c:v>
                </c:pt>
                <c:pt idx="3">
                  <c:v>92828987</c:v>
                </c:pt>
                <c:pt idx="4">
                  <c:v>76018492</c:v>
                </c:pt>
                <c:pt idx="5">
                  <c:v>73573914</c:v>
                </c:pt>
                <c:pt idx="6">
                  <c:v>68582836</c:v>
                </c:pt>
                <c:pt idx="7">
                  <c:v>65930328</c:v>
                </c:pt>
                <c:pt idx="8">
                  <c:v>60965960</c:v>
                </c:pt>
                <c:pt idx="9">
                  <c:v>49576771</c:v>
                </c:pt>
                <c:pt idx="10">
                  <c:v>41961570</c:v>
                </c:pt>
                <c:pt idx="11">
                  <c:v>36639846</c:v>
                </c:pt>
                <c:pt idx="12">
                  <c:v>36366570</c:v>
                </c:pt>
                <c:pt idx="13">
                  <c:v>33387677</c:v>
                </c:pt>
                <c:pt idx="14">
                  <c:v>32965818</c:v>
                </c:pt>
                <c:pt idx="15">
                  <c:v>30940627</c:v>
                </c:pt>
                <c:pt idx="16">
                  <c:v>28203067</c:v>
                </c:pt>
                <c:pt idx="17">
                  <c:v>25855357</c:v>
                </c:pt>
                <c:pt idx="18">
                  <c:v>18288577</c:v>
                </c:pt>
                <c:pt idx="19">
                  <c:v>12258093</c:v>
                </c:pt>
                <c:pt idx="20">
                  <c:v>10116752</c:v>
                </c:pt>
                <c:pt idx="21">
                  <c:v>6856509</c:v>
                </c:pt>
                <c:pt idx="22">
                  <c:v>3671032</c:v>
                </c:pt>
                <c:pt idx="23">
                  <c:v>3496366</c:v>
                </c:pt>
                <c:pt idx="24">
                  <c:v>3246575</c:v>
                </c:pt>
                <c:pt idx="25">
                  <c:v>2570303</c:v>
                </c:pt>
                <c:pt idx="26">
                  <c:v>1457723</c:v>
                </c:pt>
                <c:pt idx="27">
                  <c:v>1119482</c:v>
                </c:pt>
                <c:pt idx="28">
                  <c:v>1055450</c:v>
                </c:pt>
                <c:pt idx="29">
                  <c:v>747031</c:v>
                </c:pt>
                <c:pt idx="30">
                  <c:v>380581</c:v>
                </c:pt>
                <c:pt idx="31">
                  <c:v>343709</c:v>
                </c:pt>
                <c:pt idx="32">
                  <c:v>276875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E-46D1-A36F-8EF3CB355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746351711"/>
        <c:axId val="1746353631"/>
      </c:barChart>
      <c:catAx>
        <c:axId val="174635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353631"/>
        <c:crosses val="autoZero"/>
        <c:auto val="1"/>
        <c:lblAlgn val="ctr"/>
        <c:lblOffset val="100"/>
        <c:noMultiLvlLbl val="0"/>
      </c:catAx>
      <c:valAx>
        <c:axId val="174635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Millions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351711"/>
        <c:crosses val="autoZero"/>
        <c:crossBetween val="between"/>
        <c:dispUnits>
          <c:builtInUnit val="millions"/>
        </c:dispUnits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Sales Performance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Charts'!$H$3</c:f>
              <c:strCache>
                <c:ptCount val="1"/>
                <c:pt idx="0">
                  <c:v>Home Appliance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Charts'!$G$4:$G$21</c:f>
              <c:strCache>
                <c:ptCount val="18"/>
                <c:pt idx="0">
                  <c:v>Scarlett Parker</c:v>
                </c:pt>
                <c:pt idx="1">
                  <c:v>Willa Garcia</c:v>
                </c:pt>
                <c:pt idx="2">
                  <c:v>Victoria Cruz</c:v>
                </c:pt>
                <c:pt idx="3">
                  <c:v>Samuel Allen</c:v>
                </c:pt>
                <c:pt idx="4">
                  <c:v>Noah Perry</c:v>
                </c:pt>
                <c:pt idx="5">
                  <c:v>Zoe Brooks</c:v>
                </c:pt>
                <c:pt idx="6">
                  <c:v>Noah Rogers</c:v>
                </c:pt>
                <c:pt idx="7">
                  <c:v>Samuel Ortiz</c:v>
                </c:pt>
                <c:pt idx="8">
                  <c:v>Adalynn Bailey</c:v>
                </c:pt>
                <c:pt idx="9">
                  <c:v>Scarlett Morris</c:v>
                </c:pt>
                <c:pt idx="10">
                  <c:v>Victoria Adams</c:v>
                </c:pt>
                <c:pt idx="11">
                  <c:v>Joseph Ward</c:v>
                </c:pt>
                <c:pt idx="12">
                  <c:v>Caroline Ramirez</c:v>
                </c:pt>
                <c:pt idx="13">
                  <c:v>Isabella Cox</c:v>
                </c:pt>
                <c:pt idx="14">
                  <c:v>Daniel Campbell</c:v>
                </c:pt>
                <c:pt idx="15">
                  <c:v>Sienna Jackson</c:v>
                </c:pt>
                <c:pt idx="16">
                  <c:v>Harper Hernandez</c:v>
                </c:pt>
                <c:pt idx="17">
                  <c:v>Harper Russell</c:v>
                </c:pt>
              </c:strCache>
            </c:strRef>
          </c:cat>
          <c:val>
            <c:numRef>
              <c:f>'Bar Charts'!$H$4:$H$21</c:f>
              <c:numCache>
                <c:formatCode>General</c:formatCode>
                <c:ptCount val="18"/>
                <c:pt idx="0">
                  <c:v>1046</c:v>
                </c:pt>
                <c:pt idx="1">
                  <c:v>1107</c:v>
                </c:pt>
                <c:pt idx="2">
                  <c:v>1187</c:v>
                </c:pt>
                <c:pt idx="3">
                  <c:v>1006</c:v>
                </c:pt>
                <c:pt idx="4">
                  <c:v>1178</c:v>
                </c:pt>
                <c:pt idx="5">
                  <c:v>1051</c:v>
                </c:pt>
                <c:pt idx="6">
                  <c:v>1171</c:v>
                </c:pt>
                <c:pt idx="7">
                  <c:v>1066</c:v>
                </c:pt>
                <c:pt idx="8">
                  <c:v>1064</c:v>
                </c:pt>
                <c:pt idx="9">
                  <c:v>1069</c:v>
                </c:pt>
                <c:pt idx="10">
                  <c:v>1024</c:v>
                </c:pt>
                <c:pt idx="11">
                  <c:v>1013</c:v>
                </c:pt>
                <c:pt idx="12">
                  <c:v>1023</c:v>
                </c:pt>
                <c:pt idx="13">
                  <c:v>1172</c:v>
                </c:pt>
                <c:pt idx="14">
                  <c:v>1035</c:v>
                </c:pt>
                <c:pt idx="15">
                  <c:v>1170</c:v>
                </c:pt>
                <c:pt idx="16">
                  <c:v>1155</c:v>
                </c:pt>
                <c:pt idx="17">
                  <c:v>1021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A-474F-96E5-65E99F5DFFF2}"/>
            </c:ext>
          </c:extLst>
        </c:ser>
        <c:ser>
          <c:idx val="1"/>
          <c:order val="1"/>
          <c:tx>
            <c:strRef>
              <c:f>'Bar Charts'!$I$3</c:f>
              <c:strCache>
                <c:ptCount val="1"/>
                <c:pt idx="0">
                  <c:v>Home Decore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Charts'!$G$4:$G$21</c:f>
              <c:strCache>
                <c:ptCount val="18"/>
                <c:pt idx="0">
                  <c:v>Scarlett Parker</c:v>
                </c:pt>
                <c:pt idx="1">
                  <c:v>Willa Garcia</c:v>
                </c:pt>
                <c:pt idx="2">
                  <c:v>Victoria Cruz</c:v>
                </c:pt>
                <c:pt idx="3">
                  <c:v>Samuel Allen</c:v>
                </c:pt>
                <c:pt idx="4">
                  <c:v>Noah Perry</c:v>
                </c:pt>
                <c:pt idx="5">
                  <c:v>Zoe Brooks</c:v>
                </c:pt>
                <c:pt idx="6">
                  <c:v>Noah Rogers</c:v>
                </c:pt>
                <c:pt idx="7">
                  <c:v>Samuel Ortiz</c:v>
                </c:pt>
                <c:pt idx="8">
                  <c:v>Adalynn Bailey</c:v>
                </c:pt>
                <c:pt idx="9">
                  <c:v>Scarlett Morris</c:v>
                </c:pt>
                <c:pt idx="10">
                  <c:v>Victoria Adams</c:v>
                </c:pt>
                <c:pt idx="11">
                  <c:v>Joseph Ward</c:v>
                </c:pt>
                <c:pt idx="12">
                  <c:v>Caroline Ramirez</c:v>
                </c:pt>
                <c:pt idx="13">
                  <c:v>Isabella Cox</c:v>
                </c:pt>
                <c:pt idx="14">
                  <c:v>Daniel Campbell</c:v>
                </c:pt>
                <c:pt idx="15">
                  <c:v>Sienna Jackson</c:v>
                </c:pt>
                <c:pt idx="16">
                  <c:v>Harper Hernandez</c:v>
                </c:pt>
                <c:pt idx="17">
                  <c:v>Harper Russell</c:v>
                </c:pt>
              </c:strCache>
            </c:strRef>
          </c:cat>
          <c:val>
            <c:numRef>
              <c:f>'Bar Charts'!$I$4:$I$21</c:f>
              <c:numCache>
                <c:formatCode>General</c:formatCode>
                <c:ptCount val="18"/>
                <c:pt idx="0">
                  <c:v>520</c:v>
                </c:pt>
                <c:pt idx="1">
                  <c:v>588</c:v>
                </c:pt>
                <c:pt idx="2">
                  <c:v>633</c:v>
                </c:pt>
                <c:pt idx="3">
                  <c:v>634</c:v>
                </c:pt>
                <c:pt idx="4">
                  <c:v>566</c:v>
                </c:pt>
                <c:pt idx="5">
                  <c:v>508</c:v>
                </c:pt>
                <c:pt idx="6">
                  <c:v>614</c:v>
                </c:pt>
                <c:pt idx="7">
                  <c:v>583</c:v>
                </c:pt>
                <c:pt idx="8">
                  <c:v>584</c:v>
                </c:pt>
                <c:pt idx="9">
                  <c:v>588</c:v>
                </c:pt>
                <c:pt idx="10">
                  <c:v>688</c:v>
                </c:pt>
                <c:pt idx="11">
                  <c:v>571</c:v>
                </c:pt>
                <c:pt idx="12">
                  <c:v>581</c:v>
                </c:pt>
                <c:pt idx="13">
                  <c:v>610</c:v>
                </c:pt>
                <c:pt idx="14">
                  <c:v>531</c:v>
                </c:pt>
                <c:pt idx="15">
                  <c:v>591</c:v>
                </c:pt>
                <c:pt idx="16">
                  <c:v>507</c:v>
                </c:pt>
                <c:pt idx="17">
                  <c:v>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5A-474F-96E5-65E99F5DFFF2}"/>
            </c:ext>
          </c:extLst>
        </c:ser>
        <c:ser>
          <c:idx val="2"/>
          <c:order val="2"/>
          <c:tx>
            <c:strRef>
              <c:f>'Bar Charts'!$J$3</c:f>
              <c:strCache>
                <c:ptCount val="1"/>
                <c:pt idx="0">
                  <c:v>Stationary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Charts'!$G$4:$G$21</c:f>
              <c:strCache>
                <c:ptCount val="18"/>
                <c:pt idx="0">
                  <c:v>Scarlett Parker</c:v>
                </c:pt>
                <c:pt idx="1">
                  <c:v>Willa Garcia</c:v>
                </c:pt>
                <c:pt idx="2">
                  <c:v>Victoria Cruz</c:v>
                </c:pt>
                <c:pt idx="3">
                  <c:v>Samuel Allen</c:v>
                </c:pt>
                <c:pt idx="4">
                  <c:v>Noah Perry</c:v>
                </c:pt>
                <c:pt idx="5">
                  <c:v>Zoe Brooks</c:v>
                </c:pt>
                <c:pt idx="6">
                  <c:v>Noah Rogers</c:v>
                </c:pt>
                <c:pt idx="7">
                  <c:v>Samuel Ortiz</c:v>
                </c:pt>
                <c:pt idx="8">
                  <c:v>Adalynn Bailey</c:v>
                </c:pt>
                <c:pt idx="9">
                  <c:v>Scarlett Morris</c:v>
                </c:pt>
                <c:pt idx="10">
                  <c:v>Victoria Adams</c:v>
                </c:pt>
                <c:pt idx="11">
                  <c:v>Joseph Ward</c:v>
                </c:pt>
                <c:pt idx="12">
                  <c:v>Caroline Ramirez</c:v>
                </c:pt>
                <c:pt idx="13">
                  <c:v>Isabella Cox</c:v>
                </c:pt>
                <c:pt idx="14">
                  <c:v>Daniel Campbell</c:v>
                </c:pt>
                <c:pt idx="15">
                  <c:v>Sienna Jackson</c:v>
                </c:pt>
                <c:pt idx="16">
                  <c:v>Harper Hernandez</c:v>
                </c:pt>
                <c:pt idx="17">
                  <c:v>Harper Russell</c:v>
                </c:pt>
              </c:strCache>
            </c:strRef>
          </c:cat>
          <c:val>
            <c:numRef>
              <c:f>'Bar Charts'!$J$4:$J$21</c:f>
              <c:numCache>
                <c:formatCode>General</c:formatCode>
                <c:ptCount val="18"/>
                <c:pt idx="0">
                  <c:v>211</c:v>
                </c:pt>
                <c:pt idx="1">
                  <c:v>257</c:v>
                </c:pt>
                <c:pt idx="2">
                  <c:v>262</c:v>
                </c:pt>
                <c:pt idx="3">
                  <c:v>223</c:v>
                </c:pt>
                <c:pt idx="4">
                  <c:v>219</c:v>
                </c:pt>
                <c:pt idx="5">
                  <c:v>236</c:v>
                </c:pt>
                <c:pt idx="6">
                  <c:v>288</c:v>
                </c:pt>
                <c:pt idx="7">
                  <c:v>295</c:v>
                </c:pt>
                <c:pt idx="8">
                  <c:v>274</c:v>
                </c:pt>
                <c:pt idx="9">
                  <c:v>260</c:v>
                </c:pt>
                <c:pt idx="10">
                  <c:v>293</c:v>
                </c:pt>
                <c:pt idx="11">
                  <c:v>226</c:v>
                </c:pt>
                <c:pt idx="12">
                  <c:v>226</c:v>
                </c:pt>
                <c:pt idx="13">
                  <c:v>202</c:v>
                </c:pt>
                <c:pt idx="14">
                  <c:v>225</c:v>
                </c:pt>
                <c:pt idx="15">
                  <c:v>220</c:v>
                </c:pt>
                <c:pt idx="16">
                  <c:v>215</c:v>
                </c:pt>
                <c:pt idx="17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5A-474F-96E5-65E99F5DFFF2}"/>
            </c:ext>
          </c:extLst>
        </c:ser>
        <c:ser>
          <c:idx val="3"/>
          <c:order val="3"/>
          <c:tx>
            <c:strRef>
              <c:f>'Bar Charts'!$K$3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 Charts'!$G$4:$G$21</c:f>
              <c:strCache>
                <c:ptCount val="18"/>
                <c:pt idx="0">
                  <c:v>Scarlett Parker</c:v>
                </c:pt>
                <c:pt idx="1">
                  <c:v>Willa Garcia</c:v>
                </c:pt>
                <c:pt idx="2">
                  <c:v>Victoria Cruz</c:v>
                </c:pt>
                <c:pt idx="3">
                  <c:v>Samuel Allen</c:v>
                </c:pt>
                <c:pt idx="4">
                  <c:v>Noah Perry</c:v>
                </c:pt>
                <c:pt idx="5">
                  <c:v>Zoe Brooks</c:v>
                </c:pt>
                <c:pt idx="6">
                  <c:v>Noah Rogers</c:v>
                </c:pt>
                <c:pt idx="7">
                  <c:v>Samuel Ortiz</c:v>
                </c:pt>
                <c:pt idx="8">
                  <c:v>Adalynn Bailey</c:v>
                </c:pt>
                <c:pt idx="9">
                  <c:v>Scarlett Morris</c:v>
                </c:pt>
                <c:pt idx="10">
                  <c:v>Victoria Adams</c:v>
                </c:pt>
                <c:pt idx="11">
                  <c:v>Joseph Ward</c:v>
                </c:pt>
                <c:pt idx="12">
                  <c:v>Caroline Ramirez</c:v>
                </c:pt>
                <c:pt idx="13">
                  <c:v>Isabella Cox</c:v>
                </c:pt>
                <c:pt idx="14">
                  <c:v>Daniel Campbell</c:v>
                </c:pt>
                <c:pt idx="15">
                  <c:v>Sienna Jackson</c:v>
                </c:pt>
                <c:pt idx="16">
                  <c:v>Harper Hernandez</c:v>
                </c:pt>
                <c:pt idx="17">
                  <c:v>Harper Russell</c:v>
                </c:pt>
              </c:strCache>
            </c:strRef>
          </c:cat>
          <c:val>
            <c:numRef>
              <c:f>'Bar Charts'!$K$4:$K$21</c:f>
              <c:numCache>
                <c:formatCode>General</c:formatCode>
                <c:ptCount val="18"/>
                <c:pt idx="0">
                  <c:v>1777</c:v>
                </c:pt>
                <c:pt idx="1">
                  <c:v>1952</c:v>
                </c:pt>
                <c:pt idx="2">
                  <c:v>2082</c:v>
                </c:pt>
                <c:pt idx="3">
                  <c:v>1863</c:v>
                </c:pt>
                <c:pt idx="4">
                  <c:v>1963</c:v>
                </c:pt>
                <c:pt idx="5">
                  <c:v>1795</c:v>
                </c:pt>
                <c:pt idx="6">
                  <c:v>2073</c:v>
                </c:pt>
                <c:pt idx="7">
                  <c:v>1944</c:v>
                </c:pt>
                <c:pt idx="8">
                  <c:v>1922</c:v>
                </c:pt>
                <c:pt idx="9">
                  <c:v>1917</c:v>
                </c:pt>
                <c:pt idx="10">
                  <c:v>2005</c:v>
                </c:pt>
                <c:pt idx="11">
                  <c:v>1810</c:v>
                </c:pt>
                <c:pt idx="12">
                  <c:v>1830</c:v>
                </c:pt>
                <c:pt idx="13">
                  <c:v>1984</c:v>
                </c:pt>
                <c:pt idx="14">
                  <c:v>1791</c:v>
                </c:pt>
                <c:pt idx="15">
                  <c:v>1981</c:v>
                </c:pt>
                <c:pt idx="16">
                  <c:v>1877</c:v>
                </c:pt>
                <c:pt idx="17">
                  <c:v>1923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5A-474F-96E5-65E99F5DF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7424352"/>
        <c:axId val="1547441152"/>
      </c:barChart>
      <c:catAx>
        <c:axId val="154742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441152"/>
        <c:crosses val="autoZero"/>
        <c:auto val="1"/>
        <c:lblAlgn val="ctr"/>
        <c:lblOffset val="100"/>
        <c:noMultiLvlLbl val="0"/>
      </c:catAx>
      <c:valAx>
        <c:axId val="154744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42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Performance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Charts'!$K$3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 Charts'!$G$4:$G$21</c:f>
              <c:strCache>
                <c:ptCount val="18"/>
                <c:pt idx="0">
                  <c:v>Scarlett Parker</c:v>
                </c:pt>
                <c:pt idx="1">
                  <c:v>Willa Garcia</c:v>
                </c:pt>
                <c:pt idx="2">
                  <c:v>Victoria Cruz</c:v>
                </c:pt>
                <c:pt idx="3">
                  <c:v>Samuel Allen</c:v>
                </c:pt>
                <c:pt idx="4">
                  <c:v>Noah Perry</c:v>
                </c:pt>
                <c:pt idx="5">
                  <c:v>Zoe Brooks</c:v>
                </c:pt>
                <c:pt idx="6">
                  <c:v>Noah Rogers</c:v>
                </c:pt>
                <c:pt idx="7">
                  <c:v>Samuel Ortiz</c:v>
                </c:pt>
                <c:pt idx="8">
                  <c:v>Adalynn Bailey</c:v>
                </c:pt>
                <c:pt idx="9">
                  <c:v>Scarlett Morris</c:v>
                </c:pt>
                <c:pt idx="10">
                  <c:v>Victoria Adams</c:v>
                </c:pt>
                <c:pt idx="11">
                  <c:v>Joseph Ward</c:v>
                </c:pt>
                <c:pt idx="12">
                  <c:v>Caroline Ramirez</c:v>
                </c:pt>
                <c:pt idx="13">
                  <c:v>Isabella Cox</c:v>
                </c:pt>
                <c:pt idx="14">
                  <c:v>Daniel Campbell</c:v>
                </c:pt>
                <c:pt idx="15">
                  <c:v>Sienna Jackson</c:v>
                </c:pt>
                <c:pt idx="16">
                  <c:v>Harper Hernandez</c:v>
                </c:pt>
                <c:pt idx="17">
                  <c:v>Harper Russell</c:v>
                </c:pt>
              </c:strCache>
            </c:strRef>
          </c:cat>
          <c:val>
            <c:numRef>
              <c:f>'Bar Charts'!$K$4:$K$21</c:f>
              <c:numCache>
                <c:formatCode>General</c:formatCode>
                <c:ptCount val="18"/>
                <c:pt idx="0">
                  <c:v>1777</c:v>
                </c:pt>
                <c:pt idx="1">
                  <c:v>1952</c:v>
                </c:pt>
                <c:pt idx="2">
                  <c:v>2082</c:v>
                </c:pt>
                <c:pt idx="3">
                  <c:v>1863</c:v>
                </c:pt>
                <c:pt idx="4">
                  <c:v>1963</c:v>
                </c:pt>
                <c:pt idx="5">
                  <c:v>1795</c:v>
                </c:pt>
                <c:pt idx="6">
                  <c:v>2073</c:v>
                </c:pt>
                <c:pt idx="7">
                  <c:v>1944</c:v>
                </c:pt>
                <c:pt idx="8">
                  <c:v>1922</c:v>
                </c:pt>
                <c:pt idx="9">
                  <c:v>1917</c:v>
                </c:pt>
                <c:pt idx="10">
                  <c:v>2005</c:v>
                </c:pt>
                <c:pt idx="11">
                  <c:v>1810</c:v>
                </c:pt>
                <c:pt idx="12">
                  <c:v>1830</c:v>
                </c:pt>
                <c:pt idx="13">
                  <c:v>1984</c:v>
                </c:pt>
                <c:pt idx="14">
                  <c:v>1791</c:v>
                </c:pt>
                <c:pt idx="15">
                  <c:v>1981</c:v>
                </c:pt>
                <c:pt idx="16">
                  <c:v>1877</c:v>
                </c:pt>
                <c:pt idx="17">
                  <c:v>1923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B-4AA8-924A-F264D0E04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5304256"/>
        <c:axId val="1545305216"/>
      </c:barChart>
      <c:catAx>
        <c:axId val="154530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305216"/>
        <c:crosses val="autoZero"/>
        <c:auto val="1"/>
        <c:lblAlgn val="ctr"/>
        <c:lblOffset val="100"/>
        <c:noMultiLvlLbl val="0"/>
      </c:catAx>
      <c:valAx>
        <c:axId val="154530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30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Sales Performance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47308021396661809"/>
          <c:y val="3.740649603239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'Bar Charts'!$H$3</c:f>
              <c:strCache>
                <c:ptCount val="1"/>
                <c:pt idx="0">
                  <c:v>Home Appliance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Charts'!$G$4:$G$21</c:f>
              <c:strCache>
                <c:ptCount val="18"/>
                <c:pt idx="0">
                  <c:v>Scarlett Parker</c:v>
                </c:pt>
                <c:pt idx="1">
                  <c:v>Willa Garcia</c:v>
                </c:pt>
                <c:pt idx="2">
                  <c:v>Victoria Cruz</c:v>
                </c:pt>
                <c:pt idx="3">
                  <c:v>Samuel Allen</c:v>
                </c:pt>
                <c:pt idx="4">
                  <c:v>Noah Perry</c:v>
                </c:pt>
                <c:pt idx="5">
                  <c:v>Zoe Brooks</c:v>
                </c:pt>
                <c:pt idx="6">
                  <c:v>Noah Rogers</c:v>
                </c:pt>
                <c:pt idx="7">
                  <c:v>Samuel Ortiz</c:v>
                </c:pt>
                <c:pt idx="8">
                  <c:v>Adalynn Bailey</c:v>
                </c:pt>
                <c:pt idx="9">
                  <c:v>Scarlett Morris</c:v>
                </c:pt>
                <c:pt idx="10">
                  <c:v>Victoria Adams</c:v>
                </c:pt>
                <c:pt idx="11">
                  <c:v>Joseph Ward</c:v>
                </c:pt>
                <c:pt idx="12">
                  <c:v>Caroline Ramirez</c:v>
                </c:pt>
                <c:pt idx="13">
                  <c:v>Isabella Cox</c:v>
                </c:pt>
                <c:pt idx="14">
                  <c:v>Daniel Campbell</c:v>
                </c:pt>
                <c:pt idx="15">
                  <c:v>Sienna Jackson</c:v>
                </c:pt>
                <c:pt idx="16">
                  <c:v>Harper Hernandez</c:v>
                </c:pt>
                <c:pt idx="17">
                  <c:v>Harper Russell</c:v>
                </c:pt>
              </c:strCache>
            </c:strRef>
          </c:cat>
          <c:val>
            <c:numRef>
              <c:f>'Bar Charts'!$H$4:$H$21</c:f>
              <c:numCache>
                <c:formatCode>General</c:formatCode>
                <c:ptCount val="18"/>
                <c:pt idx="0">
                  <c:v>1046</c:v>
                </c:pt>
                <c:pt idx="1">
                  <c:v>1107</c:v>
                </c:pt>
                <c:pt idx="2">
                  <c:v>1187</c:v>
                </c:pt>
                <c:pt idx="3">
                  <c:v>1006</c:v>
                </c:pt>
                <c:pt idx="4">
                  <c:v>1178</c:v>
                </c:pt>
                <c:pt idx="5">
                  <c:v>1051</c:v>
                </c:pt>
                <c:pt idx="6">
                  <c:v>1171</c:v>
                </c:pt>
                <c:pt idx="7">
                  <c:v>1066</c:v>
                </c:pt>
                <c:pt idx="8">
                  <c:v>1064</c:v>
                </c:pt>
                <c:pt idx="9">
                  <c:v>1069</c:v>
                </c:pt>
                <c:pt idx="10">
                  <c:v>1024</c:v>
                </c:pt>
                <c:pt idx="11">
                  <c:v>1013</c:v>
                </c:pt>
                <c:pt idx="12">
                  <c:v>1023</c:v>
                </c:pt>
                <c:pt idx="13">
                  <c:v>1172</c:v>
                </c:pt>
                <c:pt idx="14">
                  <c:v>1035</c:v>
                </c:pt>
                <c:pt idx="15">
                  <c:v>1170</c:v>
                </c:pt>
                <c:pt idx="16">
                  <c:v>1155</c:v>
                </c:pt>
                <c:pt idx="17">
                  <c:v>1021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A-423D-ADBF-EE33DBE6F6BA}"/>
            </c:ext>
          </c:extLst>
        </c:ser>
        <c:ser>
          <c:idx val="1"/>
          <c:order val="1"/>
          <c:tx>
            <c:strRef>
              <c:f>'Bar Charts'!$I$3</c:f>
              <c:strCache>
                <c:ptCount val="1"/>
                <c:pt idx="0">
                  <c:v>Home Decore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Charts'!$G$4:$G$21</c:f>
              <c:strCache>
                <c:ptCount val="18"/>
                <c:pt idx="0">
                  <c:v>Scarlett Parker</c:v>
                </c:pt>
                <c:pt idx="1">
                  <c:v>Willa Garcia</c:v>
                </c:pt>
                <c:pt idx="2">
                  <c:v>Victoria Cruz</c:v>
                </c:pt>
                <c:pt idx="3">
                  <c:v>Samuel Allen</c:v>
                </c:pt>
                <c:pt idx="4">
                  <c:v>Noah Perry</c:v>
                </c:pt>
                <c:pt idx="5">
                  <c:v>Zoe Brooks</c:v>
                </c:pt>
                <c:pt idx="6">
                  <c:v>Noah Rogers</c:v>
                </c:pt>
                <c:pt idx="7">
                  <c:v>Samuel Ortiz</c:v>
                </c:pt>
                <c:pt idx="8">
                  <c:v>Adalynn Bailey</c:v>
                </c:pt>
                <c:pt idx="9">
                  <c:v>Scarlett Morris</c:v>
                </c:pt>
                <c:pt idx="10">
                  <c:v>Victoria Adams</c:v>
                </c:pt>
                <c:pt idx="11">
                  <c:v>Joseph Ward</c:v>
                </c:pt>
                <c:pt idx="12">
                  <c:v>Caroline Ramirez</c:v>
                </c:pt>
                <c:pt idx="13">
                  <c:v>Isabella Cox</c:v>
                </c:pt>
                <c:pt idx="14">
                  <c:v>Daniel Campbell</c:v>
                </c:pt>
                <c:pt idx="15">
                  <c:v>Sienna Jackson</c:v>
                </c:pt>
                <c:pt idx="16">
                  <c:v>Harper Hernandez</c:v>
                </c:pt>
                <c:pt idx="17">
                  <c:v>Harper Russell</c:v>
                </c:pt>
              </c:strCache>
            </c:strRef>
          </c:cat>
          <c:val>
            <c:numRef>
              <c:f>'Bar Charts'!$I$4:$I$21</c:f>
              <c:numCache>
                <c:formatCode>General</c:formatCode>
                <c:ptCount val="18"/>
                <c:pt idx="0">
                  <c:v>520</c:v>
                </c:pt>
                <c:pt idx="1">
                  <c:v>588</c:v>
                </c:pt>
                <c:pt idx="2">
                  <c:v>633</c:v>
                </c:pt>
                <c:pt idx="3">
                  <c:v>634</c:v>
                </c:pt>
                <c:pt idx="4">
                  <c:v>566</c:v>
                </c:pt>
                <c:pt idx="5">
                  <c:v>508</c:v>
                </c:pt>
                <c:pt idx="6">
                  <c:v>614</c:v>
                </c:pt>
                <c:pt idx="7">
                  <c:v>583</c:v>
                </c:pt>
                <c:pt idx="8">
                  <c:v>584</c:v>
                </c:pt>
                <c:pt idx="9">
                  <c:v>588</c:v>
                </c:pt>
                <c:pt idx="10">
                  <c:v>688</c:v>
                </c:pt>
                <c:pt idx="11">
                  <c:v>571</c:v>
                </c:pt>
                <c:pt idx="12">
                  <c:v>581</c:v>
                </c:pt>
                <c:pt idx="13">
                  <c:v>610</c:v>
                </c:pt>
                <c:pt idx="14">
                  <c:v>531</c:v>
                </c:pt>
                <c:pt idx="15">
                  <c:v>591</c:v>
                </c:pt>
                <c:pt idx="16">
                  <c:v>507</c:v>
                </c:pt>
                <c:pt idx="17">
                  <c:v>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2A-423D-ADBF-EE33DBE6F6BA}"/>
            </c:ext>
          </c:extLst>
        </c:ser>
        <c:ser>
          <c:idx val="2"/>
          <c:order val="2"/>
          <c:tx>
            <c:strRef>
              <c:f>'Bar Charts'!$J$3</c:f>
              <c:strCache>
                <c:ptCount val="1"/>
                <c:pt idx="0">
                  <c:v>Stationary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Charts'!$G$4:$G$21</c:f>
              <c:strCache>
                <c:ptCount val="18"/>
                <c:pt idx="0">
                  <c:v>Scarlett Parker</c:v>
                </c:pt>
                <c:pt idx="1">
                  <c:v>Willa Garcia</c:v>
                </c:pt>
                <c:pt idx="2">
                  <c:v>Victoria Cruz</c:v>
                </c:pt>
                <c:pt idx="3">
                  <c:v>Samuel Allen</c:v>
                </c:pt>
                <c:pt idx="4">
                  <c:v>Noah Perry</c:v>
                </c:pt>
                <c:pt idx="5">
                  <c:v>Zoe Brooks</c:v>
                </c:pt>
                <c:pt idx="6">
                  <c:v>Noah Rogers</c:v>
                </c:pt>
                <c:pt idx="7">
                  <c:v>Samuel Ortiz</c:v>
                </c:pt>
                <c:pt idx="8">
                  <c:v>Adalynn Bailey</c:v>
                </c:pt>
                <c:pt idx="9">
                  <c:v>Scarlett Morris</c:v>
                </c:pt>
                <c:pt idx="10">
                  <c:v>Victoria Adams</c:v>
                </c:pt>
                <c:pt idx="11">
                  <c:v>Joseph Ward</c:v>
                </c:pt>
                <c:pt idx="12">
                  <c:v>Caroline Ramirez</c:v>
                </c:pt>
                <c:pt idx="13">
                  <c:v>Isabella Cox</c:v>
                </c:pt>
                <c:pt idx="14">
                  <c:v>Daniel Campbell</c:v>
                </c:pt>
                <c:pt idx="15">
                  <c:v>Sienna Jackson</c:v>
                </c:pt>
                <c:pt idx="16">
                  <c:v>Harper Hernandez</c:v>
                </c:pt>
                <c:pt idx="17">
                  <c:v>Harper Russell</c:v>
                </c:pt>
              </c:strCache>
            </c:strRef>
          </c:cat>
          <c:val>
            <c:numRef>
              <c:f>'Bar Charts'!$J$4:$J$21</c:f>
              <c:numCache>
                <c:formatCode>General</c:formatCode>
                <c:ptCount val="18"/>
                <c:pt idx="0">
                  <c:v>211</c:v>
                </c:pt>
                <c:pt idx="1">
                  <c:v>257</c:v>
                </c:pt>
                <c:pt idx="2">
                  <c:v>262</c:v>
                </c:pt>
                <c:pt idx="3">
                  <c:v>223</c:v>
                </c:pt>
                <c:pt idx="4">
                  <c:v>219</c:v>
                </c:pt>
                <c:pt idx="5">
                  <c:v>236</c:v>
                </c:pt>
                <c:pt idx="6">
                  <c:v>288</c:v>
                </c:pt>
                <c:pt idx="7">
                  <c:v>295</c:v>
                </c:pt>
                <c:pt idx="8">
                  <c:v>274</c:v>
                </c:pt>
                <c:pt idx="9">
                  <c:v>260</c:v>
                </c:pt>
                <c:pt idx="10">
                  <c:v>293</c:v>
                </c:pt>
                <c:pt idx="11">
                  <c:v>226</c:v>
                </c:pt>
                <c:pt idx="12">
                  <c:v>226</c:v>
                </c:pt>
                <c:pt idx="13">
                  <c:v>202</c:v>
                </c:pt>
                <c:pt idx="14">
                  <c:v>225</c:v>
                </c:pt>
                <c:pt idx="15">
                  <c:v>220</c:v>
                </c:pt>
                <c:pt idx="16">
                  <c:v>215</c:v>
                </c:pt>
                <c:pt idx="17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2A-423D-ADBF-EE33DBE6F6BA}"/>
            </c:ext>
          </c:extLst>
        </c:ser>
        <c:ser>
          <c:idx val="3"/>
          <c:order val="3"/>
          <c:tx>
            <c:strRef>
              <c:f>'Bar Charts'!$K$3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 Charts'!$G$4:$G$21</c:f>
              <c:strCache>
                <c:ptCount val="18"/>
                <c:pt idx="0">
                  <c:v>Scarlett Parker</c:v>
                </c:pt>
                <c:pt idx="1">
                  <c:v>Willa Garcia</c:v>
                </c:pt>
                <c:pt idx="2">
                  <c:v>Victoria Cruz</c:v>
                </c:pt>
                <c:pt idx="3">
                  <c:v>Samuel Allen</c:v>
                </c:pt>
                <c:pt idx="4">
                  <c:v>Noah Perry</c:v>
                </c:pt>
                <c:pt idx="5">
                  <c:v>Zoe Brooks</c:v>
                </c:pt>
                <c:pt idx="6">
                  <c:v>Noah Rogers</c:v>
                </c:pt>
                <c:pt idx="7">
                  <c:v>Samuel Ortiz</c:v>
                </c:pt>
                <c:pt idx="8">
                  <c:v>Adalynn Bailey</c:v>
                </c:pt>
                <c:pt idx="9">
                  <c:v>Scarlett Morris</c:v>
                </c:pt>
                <c:pt idx="10">
                  <c:v>Victoria Adams</c:v>
                </c:pt>
                <c:pt idx="11">
                  <c:v>Joseph Ward</c:v>
                </c:pt>
                <c:pt idx="12">
                  <c:v>Caroline Ramirez</c:v>
                </c:pt>
                <c:pt idx="13">
                  <c:v>Isabella Cox</c:v>
                </c:pt>
                <c:pt idx="14">
                  <c:v>Daniel Campbell</c:v>
                </c:pt>
                <c:pt idx="15">
                  <c:v>Sienna Jackson</c:v>
                </c:pt>
                <c:pt idx="16">
                  <c:v>Harper Hernandez</c:v>
                </c:pt>
                <c:pt idx="17">
                  <c:v>Harper Russell</c:v>
                </c:pt>
              </c:strCache>
            </c:strRef>
          </c:cat>
          <c:val>
            <c:numRef>
              <c:f>'Bar Charts'!$K$4:$K$21</c:f>
              <c:numCache>
                <c:formatCode>General</c:formatCode>
                <c:ptCount val="18"/>
                <c:pt idx="0">
                  <c:v>1777</c:v>
                </c:pt>
                <c:pt idx="1">
                  <c:v>1952</c:v>
                </c:pt>
                <c:pt idx="2">
                  <c:v>2082</c:v>
                </c:pt>
                <c:pt idx="3">
                  <c:v>1863</c:v>
                </c:pt>
                <c:pt idx="4">
                  <c:v>1963</c:v>
                </c:pt>
                <c:pt idx="5">
                  <c:v>1795</c:v>
                </c:pt>
                <c:pt idx="6">
                  <c:v>2073</c:v>
                </c:pt>
                <c:pt idx="7">
                  <c:v>1944</c:v>
                </c:pt>
                <c:pt idx="8">
                  <c:v>1922</c:v>
                </c:pt>
                <c:pt idx="9">
                  <c:v>1917</c:v>
                </c:pt>
                <c:pt idx="10">
                  <c:v>2005</c:v>
                </c:pt>
                <c:pt idx="11">
                  <c:v>1810</c:v>
                </c:pt>
                <c:pt idx="12">
                  <c:v>1830</c:v>
                </c:pt>
                <c:pt idx="13">
                  <c:v>1984</c:v>
                </c:pt>
                <c:pt idx="14">
                  <c:v>1791</c:v>
                </c:pt>
                <c:pt idx="15">
                  <c:v>1981</c:v>
                </c:pt>
                <c:pt idx="16">
                  <c:v>1877</c:v>
                </c:pt>
                <c:pt idx="17">
                  <c:v>1923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2A-423D-ADBF-EE33DBE6F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1005360"/>
        <c:axId val="860988336"/>
      </c:barChart>
      <c:catAx>
        <c:axId val="86100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988336"/>
        <c:crosses val="autoZero"/>
        <c:auto val="1"/>
        <c:lblAlgn val="ctr"/>
        <c:lblOffset val="100"/>
        <c:noMultiLvlLbl val="0"/>
      </c:catAx>
      <c:valAx>
        <c:axId val="86098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00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Performance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'Bar Charts'!$H$3</c:f>
              <c:strCache>
                <c:ptCount val="1"/>
                <c:pt idx="0">
                  <c:v>Home Appliance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Charts'!$G$4:$G$21</c:f>
              <c:strCache>
                <c:ptCount val="18"/>
                <c:pt idx="0">
                  <c:v>Scarlett Parker</c:v>
                </c:pt>
                <c:pt idx="1">
                  <c:v>Willa Garcia</c:v>
                </c:pt>
                <c:pt idx="2">
                  <c:v>Victoria Cruz</c:v>
                </c:pt>
                <c:pt idx="3">
                  <c:v>Samuel Allen</c:v>
                </c:pt>
                <c:pt idx="4">
                  <c:v>Noah Perry</c:v>
                </c:pt>
                <c:pt idx="5">
                  <c:v>Zoe Brooks</c:v>
                </c:pt>
                <c:pt idx="6">
                  <c:v>Noah Rogers</c:v>
                </c:pt>
                <c:pt idx="7">
                  <c:v>Samuel Ortiz</c:v>
                </c:pt>
                <c:pt idx="8">
                  <c:v>Adalynn Bailey</c:v>
                </c:pt>
                <c:pt idx="9">
                  <c:v>Scarlett Morris</c:v>
                </c:pt>
                <c:pt idx="10">
                  <c:v>Victoria Adams</c:v>
                </c:pt>
                <c:pt idx="11">
                  <c:v>Joseph Ward</c:v>
                </c:pt>
                <c:pt idx="12">
                  <c:v>Caroline Ramirez</c:v>
                </c:pt>
                <c:pt idx="13">
                  <c:v>Isabella Cox</c:v>
                </c:pt>
                <c:pt idx="14">
                  <c:v>Daniel Campbell</c:v>
                </c:pt>
                <c:pt idx="15">
                  <c:v>Sienna Jackson</c:v>
                </c:pt>
                <c:pt idx="16">
                  <c:v>Harper Hernandez</c:v>
                </c:pt>
                <c:pt idx="17">
                  <c:v>Harper Russell</c:v>
                </c:pt>
              </c:strCache>
            </c:strRef>
          </c:cat>
          <c:val>
            <c:numRef>
              <c:f>'Bar Charts'!$H$4:$H$21</c:f>
              <c:numCache>
                <c:formatCode>General</c:formatCode>
                <c:ptCount val="18"/>
                <c:pt idx="0">
                  <c:v>1046</c:v>
                </c:pt>
                <c:pt idx="1">
                  <c:v>1107</c:v>
                </c:pt>
                <c:pt idx="2">
                  <c:v>1187</c:v>
                </c:pt>
                <c:pt idx="3">
                  <c:v>1006</c:v>
                </c:pt>
                <c:pt idx="4">
                  <c:v>1178</c:v>
                </c:pt>
                <c:pt idx="5">
                  <c:v>1051</c:v>
                </c:pt>
                <c:pt idx="6">
                  <c:v>1171</c:v>
                </c:pt>
                <c:pt idx="7">
                  <c:v>1066</c:v>
                </c:pt>
                <c:pt idx="8">
                  <c:v>1064</c:v>
                </c:pt>
                <c:pt idx="9">
                  <c:v>1069</c:v>
                </c:pt>
                <c:pt idx="10">
                  <c:v>1024</c:v>
                </c:pt>
                <c:pt idx="11">
                  <c:v>1013</c:v>
                </c:pt>
                <c:pt idx="12">
                  <c:v>1023</c:v>
                </c:pt>
                <c:pt idx="13">
                  <c:v>1172</c:v>
                </c:pt>
                <c:pt idx="14">
                  <c:v>1035</c:v>
                </c:pt>
                <c:pt idx="15">
                  <c:v>1170</c:v>
                </c:pt>
                <c:pt idx="16">
                  <c:v>1155</c:v>
                </c:pt>
                <c:pt idx="17">
                  <c:v>1021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B-4333-A5FE-6E6F427A7068}"/>
            </c:ext>
          </c:extLst>
        </c:ser>
        <c:ser>
          <c:idx val="1"/>
          <c:order val="1"/>
          <c:tx>
            <c:strRef>
              <c:f>'Bar Charts'!$I$3</c:f>
              <c:strCache>
                <c:ptCount val="1"/>
                <c:pt idx="0">
                  <c:v>Home Decore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Charts'!$G$4:$G$21</c:f>
              <c:strCache>
                <c:ptCount val="18"/>
                <c:pt idx="0">
                  <c:v>Scarlett Parker</c:v>
                </c:pt>
                <c:pt idx="1">
                  <c:v>Willa Garcia</c:v>
                </c:pt>
                <c:pt idx="2">
                  <c:v>Victoria Cruz</c:v>
                </c:pt>
                <c:pt idx="3">
                  <c:v>Samuel Allen</c:v>
                </c:pt>
                <c:pt idx="4">
                  <c:v>Noah Perry</c:v>
                </c:pt>
                <c:pt idx="5">
                  <c:v>Zoe Brooks</c:v>
                </c:pt>
                <c:pt idx="6">
                  <c:v>Noah Rogers</c:v>
                </c:pt>
                <c:pt idx="7">
                  <c:v>Samuel Ortiz</c:v>
                </c:pt>
                <c:pt idx="8">
                  <c:v>Adalynn Bailey</c:v>
                </c:pt>
                <c:pt idx="9">
                  <c:v>Scarlett Morris</c:v>
                </c:pt>
                <c:pt idx="10">
                  <c:v>Victoria Adams</c:v>
                </c:pt>
                <c:pt idx="11">
                  <c:v>Joseph Ward</c:v>
                </c:pt>
                <c:pt idx="12">
                  <c:v>Caroline Ramirez</c:v>
                </c:pt>
                <c:pt idx="13">
                  <c:v>Isabella Cox</c:v>
                </c:pt>
                <c:pt idx="14">
                  <c:v>Daniel Campbell</c:v>
                </c:pt>
                <c:pt idx="15">
                  <c:v>Sienna Jackson</c:v>
                </c:pt>
                <c:pt idx="16">
                  <c:v>Harper Hernandez</c:v>
                </c:pt>
                <c:pt idx="17">
                  <c:v>Harper Russell</c:v>
                </c:pt>
              </c:strCache>
            </c:strRef>
          </c:cat>
          <c:val>
            <c:numRef>
              <c:f>'Bar Charts'!$I$4:$I$21</c:f>
              <c:numCache>
                <c:formatCode>General</c:formatCode>
                <c:ptCount val="18"/>
                <c:pt idx="0">
                  <c:v>520</c:v>
                </c:pt>
                <c:pt idx="1">
                  <c:v>588</c:v>
                </c:pt>
                <c:pt idx="2">
                  <c:v>633</c:v>
                </c:pt>
                <c:pt idx="3">
                  <c:v>634</c:v>
                </c:pt>
                <c:pt idx="4">
                  <c:v>566</c:v>
                </c:pt>
                <c:pt idx="5">
                  <c:v>508</c:v>
                </c:pt>
                <c:pt idx="6">
                  <c:v>614</c:v>
                </c:pt>
                <c:pt idx="7">
                  <c:v>583</c:v>
                </c:pt>
                <c:pt idx="8">
                  <c:v>584</c:v>
                </c:pt>
                <c:pt idx="9">
                  <c:v>588</c:v>
                </c:pt>
                <c:pt idx="10">
                  <c:v>688</c:v>
                </c:pt>
                <c:pt idx="11">
                  <c:v>571</c:v>
                </c:pt>
                <c:pt idx="12">
                  <c:v>581</c:v>
                </c:pt>
                <c:pt idx="13">
                  <c:v>610</c:v>
                </c:pt>
                <c:pt idx="14">
                  <c:v>531</c:v>
                </c:pt>
                <c:pt idx="15">
                  <c:v>591</c:v>
                </c:pt>
                <c:pt idx="16">
                  <c:v>507</c:v>
                </c:pt>
                <c:pt idx="17">
                  <c:v>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5B-4333-A5FE-6E6F427A7068}"/>
            </c:ext>
          </c:extLst>
        </c:ser>
        <c:ser>
          <c:idx val="2"/>
          <c:order val="2"/>
          <c:tx>
            <c:strRef>
              <c:f>'Bar Charts'!$J$3</c:f>
              <c:strCache>
                <c:ptCount val="1"/>
                <c:pt idx="0">
                  <c:v>Stationary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Charts'!$G$4:$G$21</c:f>
              <c:strCache>
                <c:ptCount val="18"/>
                <c:pt idx="0">
                  <c:v>Scarlett Parker</c:v>
                </c:pt>
                <c:pt idx="1">
                  <c:v>Willa Garcia</c:v>
                </c:pt>
                <c:pt idx="2">
                  <c:v>Victoria Cruz</c:v>
                </c:pt>
                <c:pt idx="3">
                  <c:v>Samuel Allen</c:v>
                </c:pt>
                <c:pt idx="4">
                  <c:v>Noah Perry</c:v>
                </c:pt>
                <c:pt idx="5">
                  <c:v>Zoe Brooks</c:v>
                </c:pt>
                <c:pt idx="6">
                  <c:v>Noah Rogers</c:v>
                </c:pt>
                <c:pt idx="7">
                  <c:v>Samuel Ortiz</c:v>
                </c:pt>
                <c:pt idx="8">
                  <c:v>Adalynn Bailey</c:v>
                </c:pt>
                <c:pt idx="9">
                  <c:v>Scarlett Morris</c:v>
                </c:pt>
                <c:pt idx="10">
                  <c:v>Victoria Adams</c:v>
                </c:pt>
                <c:pt idx="11">
                  <c:v>Joseph Ward</c:v>
                </c:pt>
                <c:pt idx="12">
                  <c:v>Caroline Ramirez</c:v>
                </c:pt>
                <c:pt idx="13">
                  <c:v>Isabella Cox</c:v>
                </c:pt>
                <c:pt idx="14">
                  <c:v>Daniel Campbell</c:v>
                </c:pt>
                <c:pt idx="15">
                  <c:v>Sienna Jackson</c:v>
                </c:pt>
                <c:pt idx="16">
                  <c:v>Harper Hernandez</c:v>
                </c:pt>
                <c:pt idx="17">
                  <c:v>Harper Russell</c:v>
                </c:pt>
              </c:strCache>
            </c:strRef>
          </c:cat>
          <c:val>
            <c:numRef>
              <c:f>'Bar Charts'!$J$4:$J$21</c:f>
              <c:numCache>
                <c:formatCode>General</c:formatCode>
                <c:ptCount val="18"/>
                <c:pt idx="0">
                  <c:v>211</c:v>
                </c:pt>
                <c:pt idx="1">
                  <c:v>257</c:v>
                </c:pt>
                <c:pt idx="2">
                  <c:v>262</c:v>
                </c:pt>
                <c:pt idx="3">
                  <c:v>223</c:v>
                </c:pt>
                <c:pt idx="4">
                  <c:v>219</c:v>
                </c:pt>
                <c:pt idx="5">
                  <c:v>236</c:v>
                </c:pt>
                <c:pt idx="6">
                  <c:v>288</c:v>
                </c:pt>
                <c:pt idx="7">
                  <c:v>295</c:v>
                </c:pt>
                <c:pt idx="8">
                  <c:v>274</c:v>
                </c:pt>
                <c:pt idx="9">
                  <c:v>260</c:v>
                </c:pt>
                <c:pt idx="10">
                  <c:v>293</c:v>
                </c:pt>
                <c:pt idx="11">
                  <c:v>226</c:v>
                </c:pt>
                <c:pt idx="12">
                  <c:v>226</c:v>
                </c:pt>
                <c:pt idx="13">
                  <c:v>202</c:v>
                </c:pt>
                <c:pt idx="14">
                  <c:v>225</c:v>
                </c:pt>
                <c:pt idx="15">
                  <c:v>220</c:v>
                </c:pt>
                <c:pt idx="16">
                  <c:v>215</c:v>
                </c:pt>
                <c:pt idx="17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5B-4333-A5FE-6E6F427A7068}"/>
            </c:ext>
          </c:extLst>
        </c:ser>
        <c:ser>
          <c:idx val="3"/>
          <c:order val="3"/>
          <c:tx>
            <c:strRef>
              <c:f>'Bar Charts'!$K$3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 Charts'!$G$4:$G$21</c:f>
              <c:strCache>
                <c:ptCount val="18"/>
                <c:pt idx="0">
                  <c:v>Scarlett Parker</c:v>
                </c:pt>
                <c:pt idx="1">
                  <c:v>Willa Garcia</c:v>
                </c:pt>
                <c:pt idx="2">
                  <c:v>Victoria Cruz</c:v>
                </c:pt>
                <c:pt idx="3">
                  <c:v>Samuel Allen</c:v>
                </c:pt>
                <c:pt idx="4">
                  <c:v>Noah Perry</c:v>
                </c:pt>
                <c:pt idx="5">
                  <c:v>Zoe Brooks</c:v>
                </c:pt>
                <c:pt idx="6">
                  <c:v>Noah Rogers</c:v>
                </c:pt>
                <c:pt idx="7">
                  <c:v>Samuel Ortiz</c:v>
                </c:pt>
                <c:pt idx="8">
                  <c:v>Adalynn Bailey</c:v>
                </c:pt>
                <c:pt idx="9">
                  <c:v>Scarlett Morris</c:v>
                </c:pt>
                <c:pt idx="10">
                  <c:v>Victoria Adams</c:v>
                </c:pt>
                <c:pt idx="11">
                  <c:v>Joseph Ward</c:v>
                </c:pt>
                <c:pt idx="12">
                  <c:v>Caroline Ramirez</c:v>
                </c:pt>
                <c:pt idx="13">
                  <c:v>Isabella Cox</c:v>
                </c:pt>
                <c:pt idx="14">
                  <c:v>Daniel Campbell</c:v>
                </c:pt>
                <c:pt idx="15">
                  <c:v>Sienna Jackson</c:v>
                </c:pt>
                <c:pt idx="16">
                  <c:v>Harper Hernandez</c:v>
                </c:pt>
                <c:pt idx="17">
                  <c:v>Harper Russell</c:v>
                </c:pt>
              </c:strCache>
            </c:strRef>
          </c:cat>
          <c:val>
            <c:numRef>
              <c:f>'Bar Charts'!$K$4:$K$21</c:f>
              <c:numCache>
                <c:formatCode>General</c:formatCode>
                <c:ptCount val="18"/>
                <c:pt idx="0">
                  <c:v>1777</c:v>
                </c:pt>
                <c:pt idx="1">
                  <c:v>1952</c:v>
                </c:pt>
                <c:pt idx="2">
                  <c:v>2082</c:v>
                </c:pt>
                <c:pt idx="3">
                  <c:v>1863</c:v>
                </c:pt>
                <c:pt idx="4">
                  <c:v>1963</c:v>
                </c:pt>
                <c:pt idx="5">
                  <c:v>1795</c:v>
                </c:pt>
                <c:pt idx="6">
                  <c:v>2073</c:v>
                </c:pt>
                <c:pt idx="7">
                  <c:v>1944</c:v>
                </c:pt>
                <c:pt idx="8">
                  <c:v>1922</c:v>
                </c:pt>
                <c:pt idx="9">
                  <c:v>1917</c:v>
                </c:pt>
                <c:pt idx="10">
                  <c:v>2005</c:v>
                </c:pt>
                <c:pt idx="11">
                  <c:v>1810</c:v>
                </c:pt>
                <c:pt idx="12">
                  <c:v>1830</c:v>
                </c:pt>
                <c:pt idx="13">
                  <c:v>1984</c:v>
                </c:pt>
                <c:pt idx="14">
                  <c:v>1791</c:v>
                </c:pt>
                <c:pt idx="15">
                  <c:v>1981</c:v>
                </c:pt>
                <c:pt idx="16">
                  <c:v>1877</c:v>
                </c:pt>
                <c:pt idx="17">
                  <c:v>1923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5B-4333-A5FE-6E6F427A7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7058288"/>
        <c:axId val="1337059248"/>
      </c:barChart>
      <c:catAx>
        <c:axId val="133705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059248"/>
        <c:crosses val="autoZero"/>
        <c:auto val="1"/>
        <c:lblAlgn val="ctr"/>
        <c:lblOffset val="100"/>
        <c:noMultiLvlLbl val="0"/>
      </c:catAx>
      <c:valAx>
        <c:axId val="133705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05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Charts'!$O$3</c:f>
              <c:strCache>
                <c:ptCount val="1"/>
                <c:pt idx="0">
                  <c:v>Visitors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Charts'!$N$4:$N$15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Charts'!$O$4:$O$15</c:f>
              <c:numCache>
                <c:formatCode>_(* #,##0_);_(* \(#,##0\);_(* "-"??_);_(@_)</c:formatCode>
                <c:ptCount val="12"/>
                <c:pt idx="0">
                  <c:v>806</c:v>
                </c:pt>
                <c:pt idx="1">
                  <c:v>749</c:v>
                </c:pt>
                <c:pt idx="2">
                  <c:v>734</c:v>
                </c:pt>
                <c:pt idx="3">
                  <c:v>683</c:v>
                </c:pt>
                <c:pt idx="4">
                  <c:v>614</c:v>
                </c:pt>
                <c:pt idx="5">
                  <c:v>620</c:v>
                </c:pt>
                <c:pt idx="6">
                  <c:v>652</c:v>
                </c:pt>
                <c:pt idx="7">
                  <c:v>671</c:v>
                </c:pt>
                <c:pt idx="8">
                  <c:v>705</c:v>
                </c:pt>
                <c:pt idx="9">
                  <c:v>712</c:v>
                </c:pt>
                <c:pt idx="10">
                  <c:v>690</c:v>
                </c:pt>
                <c:pt idx="11">
                  <c:v>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32-4CB8-A98B-362D1996E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0375440"/>
        <c:axId val="1460375920"/>
      </c:barChart>
      <c:catAx>
        <c:axId val="146037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375920"/>
        <c:crosses val="autoZero"/>
        <c:auto val="1"/>
        <c:lblAlgn val="ctr"/>
        <c:lblOffset val="100"/>
        <c:noMultiLvlLbl val="0"/>
      </c:catAx>
      <c:valAx>
        <c:axId val="146037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37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Spend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2402537182852144"/>
          <c:y val="0.17820610965296008"/>
          <c:w val="0.86486351706036746"/>
          <c:h val="0.614984324876057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'Bar Charts'!$S$3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Charts'!$R$4:$R$15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Charts'!$S$4:$S$15</c:f>
              <c:numCache>
                <c:formatCode>General</c:formatCode>
                <c:ptCount val="12"/>
                <c:pt idx="0">
                  <c:v>10943</c:v>
                </c:pt>
                <c:pt idx="1">
                  <c:v>11552</c:v>
                </c:pt>
                <c:pt idx="2">
                  <c:v>8953</c:v>
                </c:pt>
                <c:pt idx="3">
                  <c:v>9450</c:v>
                </c:pt>
                <c:pt idx="4">
                  <c:v>9158</c:v>
                </c:pt>
                <c:pt idx="5">
                  <c:v>8197</c:v>
                </c:pt>
                <c:pt idx="6">
                  <c:v>10925</c:v>
                </c:pt>
                <c:pt idx="7">
                  <c:v>11527</c:v>
                </c:pt>
                <c:pt idx="8">
                  <c:v>9164</c:v>
                </c:pt>
                <c:pt idx="9">
                  <c:v>9389</c:v>
                </c:pt>
                <c:pt idx="10">
                  <c:v>11263</c:v>
                </c:pt>
                <c:pt idx="11">
                  <c:v>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4-4D62-BB2D-ED564F51682C}"/>
            </c:ext>
          </c:extLst>
        </c:ser>
        <c:ser>
          <c:idx val="1"/>
          <c:order val="1"/>
          <c:tx>
            <c:strRef>
              <c:f>'Bar Charts'!$T$3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Charts'!$R$4:$R$15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Charts'!$T$4:$T$15</c:f>
              <c:numCache>
                <c:formatCode>General</c:formatCode>
                <c:ptCount val="12"/>
                <c:pt idx="0">
                  <c:v>2161</c:v>
                </c:pt>
                <c:pt idx="1">
                  <c:v>2331</c:v>
                </c:pt>
                <c:pt idx="2">
                  <c:v>2048</c:v>
                </c:pt>
                <c:pt idx="3">
                  <c:v>2239</c:v>
                </c:pt>
                <c:pt idx="4">
                  <c:v>2821</c:v>
                </c:pt>
                <c:pt idx="5">
                  <c:v>2337</c:v>
                </c:pt>
                <c:pt idx="6">
                  <c:v>2066</c:v>
                </c:pt>
                <c:pt idx="7">
                  <c:v>2721</c:v>
                </c:pt>
                <c:pt idx="8">
                  <c:v>2424</c:v>
                </c:pt>
                <c:pt idx="9">
                  <c:v>2225</c:v>
                </c:pt>
                <c:pt idx="10">
                  <c:v>2087</c:v>
                </c:pt>
                <c:pt idx="11">
                  <c:v>2162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84-4D62-BB2D-ED564F51682C}"/>
            </c:ext>
          </c:extLst>
        </c:ser>
        <c:ser>
          <c:idx val="2"/>
          <c:order val="2"/>
          <c:tx>
            <c:strRef>
              <c:f>'Bar Charts'!$U$3</c:f>
              <c:strCache>
                <c:ptCount val="1"/>
                <c:pt idx="0">
                  <c:v>Travel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Charts'!$R$4:$R$15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Charts'!$U$4:$U$15</c:f>
              <c:numCache>
                <c:formatCode>General</c:formatCode>
                <c:ptCount val="12"/>
                <c:pt idx="0">
                  <c:v>7633</c:v>
                </c:pt>
                <c:pt idx="1">
                  <c:v>7530</c:v>
                </c:pt>
                <c:pt idx="2">
                  <c:v>12498</c:v>
                </c:pt>
                <c:pt idx="3">
                  <c:v>6055</c:v>
                </c:pt>
                <c:pt idx="4">
                  <c:v>6702</c:v>
                </c:pt>
                <c:pt idx="5">
                  <c:v>7774</c:v>
                </c:pt>
                <c:pt idx="6">
                  <c:v>6000</c:v>
                </c:pt>
                <c:pt idx="7">
                  <c:v>6362</c:v>
                </c:pt>
                <c:pt idx="8">
                  <c:v>7173</c:v>
                </c:pt>
                <c:pt idx="9">
                  <c:v>17286</c:v>
                </c:pt>
                <c:pt idx="10">
                  <c:v>6388</c:v>
                </c:pt>
                <c:pt idx="11">
                  <c:v>16524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84-4D62-BB2D-ED564F51682C}"/>
            </c:ext>
          </c:extLst>
        </c:ser>
        <c:ser>
          <c:idx val="3"/>
          <c:order val="3"/>
          <c:tx>
            <c:strRef>
              <c:f>'Bar Charts'!$V$3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 Charts'!$R$4:$R$15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Charts'!$V$4:$V$15</c:f>
              <c:numCache>
                <c:formatCode>General</c:formatCode>
                <c:ptCount val="12"/>
                <c:pt idx="0">
                  <c:v>21032</c:v>
                </c:pt>
                <c:pt idx="1">
                  <c:v>21032</c:v>
                </c:pt>
                <c:pt idx="2">
                  <c:v>21032</c:v>
                </c:pt>
                <c:pt idx="3">
                  <c:v>21032</c:v>
                </c:pt>
                <c:pt idx="4">
                  <c:v>21032</c:v>
                </c:pt>
                <c:pt idx="5">
                  <c:v>21032</c:v>
                </c:pt>
                <c:pt idx="6">
                  <c:v>21032</c:v>
                </c:pt>
                <c:pt idx="7">
                  <c:v>21032</c:v>
                </c:pt>
                <c:pt idx="8">
                  <c:v>21032</c:v>
                </c:pt>
                <c:pt idx="9">
                  <c:v>21032</c:v>
                </c:pt>
                <c:pt idx="10">
                  <c:v>21032</c:v>
                </c:pt>
                <c:pt idx="11">
                  <c:v>21032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84-4D62-BB2D-ED564F516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3937264"/>
        <c:axId val="1943937744"/>
      </c:barChart>
      <c:catAx>
        <c:axId val="194393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937744"/>
        <c:crosses val="autoZero"/>
        <c:auto val="1"/>
        <c:lblAlgn val="ctr"/>
        <c:lblOffset val="100"/>
        <c:noMultiLvlLbl val="0"/>
      </c:catAx>
      <c:valAx>
        <c:axId val="194393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93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Wise Order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'Bar Charts'!$Z$3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Charts'!$Y$4:$Y$15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Charts'!$Z$4:$Z$15</c:f>
              <c:numCache>
                <c:formatCode>General</c:formatCode>
                <c:ptCount val="12"/>
                <c:pt idx="0">
                  <c:v>1818</c:v>
                </c:pt>
                <c:pt idx="1">
                  <c:v>1013</c:v>
                </c:pt>
                <c:pt idx="2">
                  <c:v>1229</c:v>
                </c:pt>
                <c:pt idx="3">
                  <c:v>1700</c:v>
                </c:pt>
                <c:pt idx="4">
                  <c:v>1228</c:v>
                </c:pt>
                <c:pt idx="5">
                  <c:v>1747</c:v>
                </c:pt>
                <c:pt idx="6">
                  <c:v>1624</c:v>
                </c:pt>
                <c:pt idx="7">
                  <c:v>1435</c:v>
                </c:pt>
                <c:pt idx="8">
                  <c:v>1268</c:v>
                </c:pt>
                <c:pt idx="9">
                  <c:v>1197</c:v>
                </c:pt>
                <c:pt idx="10">
                  <c:v>1376</c:v>
                </c:pt>
                <c:pt idx="11">
                  <c:v>1368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1-4C75-8C0F-F8A4EFE383E2}"/>
            </c:ext>
          </c:extLst>
        </c:ser>
        <c:ser>
          <c:idx val="1"/>
          <c:order val="1"/>
          <c:tx>
            <c:strRef>
              <c:f>'Bar Charts'!$AA$3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Charts'!$Y$4:$Y$15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Charts'!$AA$4:$AA$15</c:f>
              <c:numCache>
                <c:formatCode>General</c:formatCode>
                <c:ptCount val="12"/>
                <c:pt idx="0">
                  <c:v>724</c:v>
                </c:pt>
                <c:pt idx="1">
                  <c:v>522</c:v>
                </c:pt>
                <c:pt idx="2">
                  <c:v>632</c:v>
                </c:pt>
                <c:pt idx="3">
                  <c:v>768</c:v>
                </c:pt>
                <c:pt idx="4">
                  <c:v>768</c:v>
                </c:pt>
                <c:pt idx="5">
                  <c:v>785</c:v>
                </c:pt>
                <c:pt idx="6">
                  <c:v>801</c:v>
                </c:pt>
                <c:pt idx="7">
                  <c:v>771</c:v>
                </c:pt>
                <c:pt idx="8">
                  <c:v>874</c:v>
                </c:pt>
                <c:pt idx="9">
                  <c:v>554</c:v>
                </c:pt>
                <c:pt idx="10">
                  <c:v>621</c:v>
                </c:pt>
                <c:pt idx="11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51-4C75-8C0F-F8A4EFE383E2}"/>
            </c:ext>
          </c:extLst>
        </c:ser>
        <c:ser>
          <c:idx val="2"/>
          <c:order val="2"/>
          <c:tx>
            <c:strRef>
              <c:f>'Bar Charts'!$AB$3</c:f>
              <c:strCache>
                <c:ptCount val="1"/>
                <c:pt idx="0">
                  <c:v>Laptops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Charts'!$Y$4:$Y$15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Charts'!$AB$4:$AB$15</c:f>
              <c:numCache>
                <c:formatCode>General</c:formatCode>
                <c:ptCount val="12"/>
                <c:pt idx="0">
                  <c:v>429</c:v>
                </c:pt>
                <c:pt idx="1">
                  <c:v>389</c:v>
                </c:pt>
                <c:pt idx="2">
                  <c:v>456</c:v>
                </c:pt>
                <c:pt idx="3">
                  <c:v>245</c:v>
                </c:pt>
                <c:pt idx="4">
                  <c:v>447</c:v>
                </c:pt>
                <c:pt idx="5">
                  <c:v>375</c:v>
                </c:pt>
                <c:pt idx="6">
                  <c:v>203</c:v>
                </c:pt>
                <c:pt idx="7">
                  <c:v>397</c:v>
                </c:pt>
                <c:pt idx="8">
                  <c:v>222</c:v>
                </c:pt>
                <c:pt idx="9">
                  <c:v>473</c:v>
                </c:pt>
                <c:pt idx="10">
                  <c:v>391</c:v>
                </c:pt>
                <c:pt idx="11">
                  <c:v>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51-4C75-8C0F-F8A4EFE383E2}"/>
            </c:ext>
          </c:extLst>
        </c:ser>
        <c:ser>
          <c:idx val="3"/>
          <c:order val="3"/>
          <c:tx>
            <c:strRef>
              <c:f>'Bar Charts'!$AC$3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 Charts'!$Y$4:$Y$15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Charts'!$AC$4:$AC$15</c:f>
              <c:numCache>
                <c:formatCode>General</c:formatCode>
                <c:ptCount val="12"/>
                <c:pt idx="0">
                  <c:v>2967</c:v>
                </c:pt>
                <c:pt idx="1">
                  <c:v>2035</c:v>
                </c:pt>
                <c:pt idx="2">
                  <c:v>2516</c:v>
                </c:pt>
                <c:pt idx="3">
                  <c:v>2843</c:v>
                </c:pt>
                <c:pt idx="4">
                  <c:v>2971</c:v>
                </c:pt>
                <c:pt idx="5">
                  <c:v>2766</c:v>
                </c:pt>
                <c:pt idx="6">
                  <c:v>2803</c:v>
                </c:pt>
                <c:pt idx="7">
                  <c:v>2106</c:v>
                </c:pt>
                <c:pt idx="8">
                  <c:v>2249</c:v>
                </c:pt>
                <c:pt idx="9">
                  <c:v>2056</c:v>
                </c:pt>
                <c:pt idx="10">
                  <c:v>2022</c:v>
                </c:pt>
                <c:pt idx="11">
                  <c:v>2672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51-4C75-8C0F-F8A4EFE38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1005360"/>
        <c:axId val="861007280"/>
      </c:barChart>
      <c:catAx>
        <c:axId val="86100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007280"/>
        <c:crosses val="autoZero"/>
        <c:auto val="1"/>
        <c:lblAlgn val="ctr"/>
        <c:lblOffset val="100"/>
        <c:noMultiLvlLbl val="0"/>
      </c:catAx>
      <c:valAx>
        <c:axId val="86100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00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9097051041541135E-2"/>
          <c:y val="0.19262766407957432"/>
          <c:w val="0.93998069672658502"/>
          <c:h val="0.68995588721465417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156-4CB7-B257-63E5888FA6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156-4CB7-B257-63E5888FA6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156-4CB7-B257-63E5888FA60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156-4CB7-B257-63E5888FA60A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Food </a:t>
                    </a:r>
                    <a:fld id="{0E96BE74-8C23-4118-ADCF-B904594572A4}" type="VALUE">
                      <a:rPr lang="en-US"/>
                      <a:pPr>
                        <a:defRPr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711111111111112"/>
                      <c:h val="6.0115923009623796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156-4CB7-B257-63E5888FA60A}"/>
                </c:ext>
              </c:extLst>
            </c:dLbl>
            <c:dLbl>
              <c:idx val="1"/>
              <c:layout>
                <c:manualLayout>
                  <c:x val="-2.664215407329705E-2"/>
                  <c:y val="-0.107792721216181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Entertainment </a:t>
                    </a:r>
                    <a:fld id="{D7E99A73-280B-491B-9ED4-95F3EB73F6BC}" type="VALUE">
                      <a:rPr lang="en-US"/>
                      <a:pPr>
                        <a:defRPr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78653513975539"/>
                      <c:h val="0.1287086750098989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156-4CB7-B257-63E5888FA60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Travel </a:t>
                    </a:r>
                    <a:fld id="{A4EB2908-3D4C-4914-96FD-BC2D21251239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7156-4CB7-B257-63E5888FA60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Rent </a:t>
                    </a:r>
                    <a:fld id="{96783CAF-4EE4-4E50-B327-D6A6C735DD5D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7156-4CB7-B257-63E5888FA6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'Bar Charts'!$S$3:$V$3</c:f>
              <c:strCache>
                <c:ptCount val="4"/>
                <c:pt idx="0">
                  <c:v>Food</c:v>
                </c:pt>
                <c:pt idx="1">
                  <c:v>Entertainment</c:v>
                </c:pt>
                <c:pt idx="2">
                  <c:v>Travel</c:v>
                </c:pt>
                <c:pt idx="3">
                  <c:v>Rent</c:v>
                </c:pt>
              </c:strCache>
            </c:strRef>
          </c:cat>
          <c:val>
            <c:numRef>
              <c:f>'Bar Charts'!$S$16:$V$16</c:f>
              <c:numCache>
                <c:formatCode>General</c:formatCode>
                <c:ptCount val="4"/>
                <c:pt idx="0">
                  <c:v>119407</c:v>
                </c:pt>
                <c:pt idx="1">
                  <c:v>27622</c:v>
                </c:pt>
                <c:pt idx="2">
                  <c:v>107925</c:v>
                </c:pt>
                <c:pt idx="3">
                  <c:v>252384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156-4CB7-B257-63E5888FA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Wise Orders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C6-4822-A587-3EF5EF5AE4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C6-4822-A587-3EF5EF5AE4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C6-4822-A587-3EF5EF5AE4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5C6-4822-A587-3EF5EF5AE425}"/>
              </c:ext>
            </c:extLst>
          </c:dPt>
          <c:cat>
            <c:strRef>
              <c:f>'Pie Chart'!$C$4:$F$4</c:f>
              <c:strCache>
                <c:ptCount val="4"/>
                <c:pt idx="0">
                  <c:v>Clothing</c:v>
                </c:pt>
                <c:pt idx="1">
                  <c:v>Mobile</c:v>
                </c:pt>
                <c:pt idx="2">
                  <c:v>Laptops</c:v>
                </c:pt>
                <c:pt idx="3">
                  <c:v>Books</c:v>
                </c:pt>
              </c:strCache>
            </c:strRef>
          </c:cat>
          <c:val>
            <c:numRef>
              <c:f>'Pie Chart'!$C$5:$F$5</c:f>
              <c:numCache>
                <c:formatCode>General</c:formatCode>
                <c:ptCount val="4"/>
                <c:pt idx="0">
                  <c:v>17003</c:v>
                </c:pt>
                <c:pt idx="1">
                  <c:v>8520</c:v>
                </c:pt>
                <c:pt idx="2">
                  <c:v>4388</c:v>
                </c:pt>
                <c:pt idx="3">
                  <c:v>30006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5C6-4822-A587-3EF5EF5AE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2019</a:t>
            </a:r>
            <a:r>
              <a:rPr lang="en-IN" baseline="0"/>
              <a:t> Lokshava Elections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'Pie Chart'!$D$16</c:f>
              <c:strCache>
                <c:ptCount val="1"/>
                <c:pt idx="0">
                  <c:v>Votes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66-44A9-BE43-63FEE4C2B5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66-44A9-BE43-63FEE4C2B5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66-44A9-BE43-63FEE4C2B5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266-44A9-BE43-63FEE4C2B59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266-44A9-BE43-63FEE4C2B59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266-44A9-BE43-63FEE4C2B59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266-44A9-BE43-63FEE4C2B59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266-44A9-BE43-63FEE4C2B59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266-44A9-BE43-63FEE4C2B59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266-44A9-BE43-63FEE4C2B59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266-44A9-BE43-63FEE4C2B594}"/>
              </c:ext>
            </c:extLst>
          </c:dPt>
          <c:cat>
            <c:strRef>
              <c:f>'Pie Chart'!$C$17:$C$27</c:f>
              <c:strCache>
                <c:ptCount val="11"/>
                <c:pt idx="0">
                  <c:v>Bharatiya Janata Party</c:v>
                </c:pt>
                <c:pt idx="1">
                  <c:v>Indian National Congress</c:v>
                </c:pt>
                <c:pt idx="2">
                  <c:v>Trinamool Congress</c:v>
                </c:pt>
                <c:pt idx="3">
                  <c:v>Bahujan Samaj Party</c:v>
                </c:pt>
                <c:pt idx="4">
                  <c:v>Samajwadi Party</c:v>
                </c:pt>
                <c:pt idx="5">
                  <c:v>YSR Congress Party</c:v>
                </c:pt>
                <c:pt idx="6">
                  <c:v>Dravida Munnetra Kazhagam</c:v>
                </c:pt>
                <c:pt idx="7">
                  <c:v>Shiv Sena</c:v>
                </c:pt>
                <c:pt idx="8">
                  <c:v>Telugu Desam Party</c:v>
                </c:pt>
                <c:pt idx="9">
                  <c:v>Communist Party of India (Marxist)</c:v>
                </c:pt>
                <c:pt idx="10">
                  <c:v>Others</c:v>
                </c:pt>
              </c:strCache>
            </c:strRef>
          </c:cat>
          <c:val>
            <c:numRef>
              <c:f>'Pie Chart'!$D$17:$D$27</c:f>
              <c:numCache>
                <c:formatCode>General</c:formatCode>
                <c:ptCount val="11"/>
                <c:pt idx="0">
                  <c:v>229076879</c:v>
                </c:pt>
                <c:pt idx="1">
                  <c:v>119495214</c:v>
                </c:pt>
                <c:pt idx="2">
                  <c:v>24929330</c:v>
                </c:pt>
                <c:pt idx="3">
                  <c:v>22246501</c:v>
                </c:pt>
                <c:pt idx="4">
                  <c:v>15647206</c:v>
                </c:pt>
                <c:pt idx="5">
                  <c:v>15537006</c:v>
                </c:pt>
                <c:pt idx="6">
                  <c:v>14363332</c:v>
                </c:pt>
                <c:pt idx="7">
                  <c:v>12858904</c:v>
                </c:pt>
                <c:pt idx="8">
                  <c:v>12515345</c:v>
                </c:pt>
                <c:pt idx="9">
                  <c:v>10744908</c:v>
                </c:pt>
                <c:pt idx="10">
                  <c:v>136758198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266-44A9-BE43-63FEE4C2B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Chart'!$D$32</c:f>
              <c:strCache>
                <c:ptCount val="1"/>
                <c:pt idx="0">
                  <c:v>Spend (euros)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03-49B8-9537-80E4F31F0A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03-49B8-9537-80E4F31F0A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03-49B8-9537-80E4F31F0A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Chart'!$C$33:$C$35</c:f>
              <c:strCache>
                <c:ptCount val="3"/>
                <c:pt idx="0">
                  <c:v>Fine Dine</c:v>
                </c:pt>
                <c:pt idx="1">
                  <c:v>Self Cooking</c:v>
                </c:pt>
                <c:pt idx="2">
                  <c:v>Online order</c:v>
                </c:pt>
              </c:strCache>
            </c:strRef>
          </c:cat>
          <c:val>
            <c:numRef>
              <c:f>'Pie Chart'!$D$33:$D$35</c:f>
              <c:numCache>
                <c:formatCode>General</c:formatCode>
                <c:ptCount val="3"/>
                <c:pt idx="0">
                  <c:v>124</c:v>
                </c:pt>
                <c:pt idx="1">
                  <c:v>520</c:v>
                </c:pt>
                <c:pt idx="2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03-49B8-9537-80E4F31F0AD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Orders</a:t>
            </a:r>
            <a:r>
              <a:rPr lang="en-IN" baseline="0"/>
              <a:t> as AOV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'Line Chart and Combo Chart'!$G$3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'Line Chart and Combo Chart'!$F$4:$F$15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 and Combo Chart'!$G$4:$G$15</c:f>
              <c:numCache>
                <c:formatCode>General</c:formatCode>
                <c:ptCount val="12"/>
                <c:pt idx="0">
                  <c:v>62730</c:v>
                </c:pt>
                <c:pt idx="1">
                  <c:v>64620</c:v>
                </c:pt>
                <c:pt idx="2">
                  <c:v>62010</c:v>
                </c:pt>
                <c:pt idx="3">
                  <c:v>60030</c:v>
                </c:pt>
                <c:pt idx="4">
                  <c:v>64560</c:v>
                </c:pt>
                <c:pt idx="5">
                  <c:v>62370</c:v>
                </c:pt>
                <c:pt idx="6">
                  <c:v>65520</c:v>
                </c:pt>
                <c:pt idx="7">
                  <c:v>63420</c:v>
                </c:pt>
                <c:pt idx="8">
                  <c:v>60900</c:v>
                </c:pt>
                <c:pt idx="9">
                  <c:v>65910</c:v>
                </c:pt>
                <c:pt idx="10">
                  <c:v>60840</c:v>
                </c:pt>
                <c:pt idx="11">
                  <c:v>60510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E-4595-B18F-E3A2D0114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963488"/>
        <c:axId val="527975008"/>
      </c:barChart>
      <c:lineChart>
        <c:grouping val="standard"/>
        <c:varyColors val="0"/>
        <c:ser>
          <c:idx val="1"/>
          <c:order val="1"/>
          <c:tx>
            <c:strRef>
              <c:f>'Line Chart and Combo Chart'!$H$3</c:f>
              <c:strCache>
                <c:ptCount val="1"/>
                <c:pt idx="0">
                  <c:v>AOV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 Chart and Combo Chart'!$F$4:$F$15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 and Combo Chart'!$H$4:$H$15</c:f>
              <c:numCache>
                <c:formatCode>General</c:formatCode>
                <c:ptCount val="12"/>
                <c:pt idx="0">
                  <c:v>438</c:v>
                </c:pt>
                <c:pt idx="1">
                  <c:v>412</c:v>
                </c:pt>
                <c:pt idx="2">
                  <c:v>396</c:v>
                </c:pt>
                <c:pt idx="3">
                  <c:v>420</c:v>
                </c:pt>
                <c:pt idx="4">
                  <c:v>401</c:v>
                </c:pt>
                <c:pt idx="5">
                  <c:v>452</c:v>
                </c:pt>
                <c:pt idx="6">
                  <c:v>361</c:v>
                </c:pt>
                <c:pt idx="7">
                  <c:v>492</c:v>
                </c:pt>
                <c:pt idx="8">
                  <c:v>454</c:v>
                </c:pt>
                <c:pt idx="9">
                  <c:v>377</c:v>
                </c:pt>
                <c:pt idx="10">
                  <c:v>395</c:v>
                </c:pt>
                <c:pt idx="11">
                  <c:v>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CE-4595-B18F-E3A2D0114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7961568"/>
        <c:axId val="527977888"/>
      </c:lineChart>
      <c:catAx>
        <c:axId val="52796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75008"/>
        <c:crosses val="autoZero"/>
        <c:auto val="1"/>
        <c:lblAlgn val="ctr"/>
        <c:lblOffset val="100"/>
        <c:noMultiLvlLbl val="0"/>
      </c:catAx>
      <c:valAx>
        <c:axId val="52797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63488"/>
        <c:crosses val="autoZero"/>
        <c:crossBetween val="between"/>
      </c:valAx>
      <c:valAx>
        <c:axId val="5279778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61568"/>
        <c:crosses val="max"/>
        <c:crossBetween val="between"/>
      </c:valAx>
      <c:catAx>
        <c:axId val="5279615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79778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358705161854774E-2"/>
          <c:y val="0.16245370370370371"/>
          <c:w val="0.87753018372703417"/>
          <c:h val="0.47144247594050742"/>
        </c:manualLayout>
      </c:layout>
      <c:lineChart>
        <c:grouping val="standard"/>
        <c:varyColors val="0"/>
        <c:ser>
          <c:idx val="0"/>
          <c:order val="0"/>
          <c:tx>
            <c:strRef>
              <c:f>'Line Chart and Combo Chart'!$C$3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38100" cap="rnd">
                <a:solidFill>
                  <a:schemeClr val="accent2"/>
                </a:solidFill>
                <a:prstDash val="sysDot"/>
              </a:ln>
              <a:effectLst>
                <a:glow>
                  <a:schemeClr val="accent1">
                    <a:alpha val="40000"/>
                  </a:schemeClr>
                </a:glow>
              </a:effectLst>
            </c:spPr>
            <c:trendlineType val="movingAvg"/>
            <c:period val="7"/>
            <c:forward val="2"/>
            <c:dispRSqr val="0"/>
            <c:dispEq val="0"/>
          </c:trendline>
          <c:cat>
            <c:numRef>
              <c:f>'Line Chart and Combo Chart'!$B$4:$B$44</c:f>
              <c:numCache>
                <c:formatCode>m/d/yyyy</c:formatCode>
                <c:ptCount val="41"/>
                <c:pt idx="0">
                  <c:v>43101</c:v>
                </c:pt>
                <c:pt idx="1">
                  <c:v>43102</c:v>
                </c:pt>
                <c:pt idx="2">
                  <c:v>43103</c:v>
                </c:pt>
                <c:pt idx="3">
                  <c:v>43104</c:v>
                </c:pt>
                <c:pt idx="4">
                  <c:v>43105</c:v>
                </c:pt>
                <c:pt idx="5">
                  <c:v>43106</c:v>
                </c:pt>
                <c:pt idx="6">
                  <c:v>43107</c:v>
                </c:pt>
                <c:pt idx="7">
                  <c:v>43108</c:v>
                </c:pt>
                <c:pt idx="8">
                  <c:v>43109</c:v>
                </c:pt>
                <c:pt idx="9">
                  <c:v>43110</c:v>
                </c:pt>
                <c:pt idx="10">
                  <c:v>43111</c:v>
                </c:pt>
                <c:pt idx="11">
                  <c:v>43112</c:v>
                </c:pt>
                <c:pt idx="12">
                  <c:v>43113</c:v>
                </c:pt>
                <c:pt idx="13">
                  <c:v>43114</c:v>
                </c:pt>
                <c:pt idx="14">
                  <c:v>43115</c:v>
                </c:pt>
                <c:pt idx="15">
                  <c:v>43116</c:v>
                </c:pt>
                <c:pt idx="16">
                  <c:v>43117</c:v>
                </c:pt>
                <c:pt idx="17">
                  <c:v>43118</c:v>
                </c:pt>
                <c:pt idx="18">
                  <c:v>43119</c:v>
                </c:pt>
                <c:pt idx="19">
                  <c:v>43120</c:v>
                </c:pt>
                <c:pt idx="20">
                  <c:v>43121</c:v>
                </c:pt>
                <c:pt idx="21">
                  <c:v>43122</c:v>
                </c:pt>
                <c:pt idx="22">
                  <c:v>43123</c:v>
                </c:pt>
                <c:pt idx="23">
                  <c:v>43124</c:v>
                </c:pt>
                <c:pt idx="24">
                  <c:v>43125</c:v>
                </c:pt>
                <c:pt idx="25">
                  <c:v>43126</c:v>
                </c:pt>
                <c:pt idx="26">
                  <c:v>43127</c:v>
                </c:pt>
                <c:pt idx="27">
                  <c:v>43128</c:v>
                </c:pt>
                <c:pt idx="28">
                  <c:v>43129</c:v>
                </c:pt>
                <c:pt idx="29">
                  <c:v>43130</c:v>
                </c:pt>
                <c:pt idx="30">
                  <c:v>43131</c:v>
                </c:pt>
                <c:pt idx="31">
                  <c:v>43132</c:v>
                </c:pt>
                <c:pt idx="32">
                  <c:v>43133</c:v>
                </c:pt>
                <c:pt idx="33">
                  <c:v>43134</c:v>
                </c:pt>
                <c:pt idx="34">
                  <c:v>43135</c:v>
                </c:pt>
                <c:pt idx="35">
                  <c:v>43136</c:v>
                </c:pt>
                <c:pt idx="36">
                  <c:v>43137</c:v>
                </c:pt>
                <c:pt idx="37">
                  <c:v>43138</c:v>
                </c:pt>
                <c:pt idx="38">
                  <c:v>43139</c:v>
                </c:pt>
                <c:pt idx="39">
                  <c:v>43140</c:v>
                </c:pt>
                <c:pt idx="40">
                  <c:v>43141</c:v>
                </c:pt>
              </c:numCache>
            </c:numRef>
          </c:cat>
          <c:val>
            <c:numRef>
              <c:f>'Line Chart and Combo Chart'!$C$4:$C$44</c:f>
              <c:numCache>
                <c:formatCode>General</c:formatCode>
                <c:ptCount val="41"/>
                <c:pt idx="0">
                  <c:v>2071</c:v>
                </c:pt>
                <c:pt idx="1">
                  <c:v>2074</c:v>
                </c:pt>
                <c:pt idx="2">
                  <c:v>2133</c:v>
                </c:pt>
                <c:pt idx="3">
                  <c:v>2139</c:v>
                </c:pt>
                <c:pt idx="4">
                  <c:v>2134</c:v>
                </c:pt>
                <c:pt idx="5">
                  <c:v>2056</c:v>
                </c:pt>
                <c:pt idx="6">
                  <c:v>2123</c:v>
                </c:pt>
                <c:pt idx="7">
                  <c:v>2075</c:v>
                </c:pt>
                <c:pt idx="8">
                  <c:v>2186</c:v>
                </c:pt>
                <c:pt idx="9">
                  <c:v>2109</c:v>
                </c:pt>
                <c:pt idx="10">
                  <c:v>2090</c:v>
                </c:pt>
                <c:pt idx="11">
                  <c:v>2006</c:v>
                </c:pt>
                <c:pt idx="12">
                  <c:v>2053</c:v>
                </c:pt>
                <c:pt idx="13">
                  <c:v>2023</c:v>
                </c:pt>
                <c:pt idx="14">
                  <c:v>2133</c:v>
                </c:pt>
                <c:pt idx="15">
                  <c:v>2032</c:v>
                </c:pt>
                <c:pt idx="16">
                  <c:v>2187</c:v>
                </c:pt>
                <c:pt idx="17">
                  <c:v>2182</c:v>
                </c:pt>
                <c:pt idx="18">
                  <c:v>2121</c:v>
                </c:pt>
                <c:pt idx="19">
                  <c:v>2104</c:v>
                </c:pt>
                <c:pt idx="20">
                  <c:v>2023</c:v>
                </c:pt>
                <c:pt idx="21">
                  <c:v>2154</c:v>
                </c:pt>
                <c:pt idx="22">
                  <c:v>2018</c:v>
                </c:pt>
                <c:pt idx="23">
                  <c:v>2107</c:v>
                </c:pt>
                <c:pt idx="24">
                  <c:v>2003</c:v>
                </c:pt>
                <c:pt idx="25">
                  <c:v>2167</c:v>
                </c:pt>
                <c:pt idx="26">
                  <c:v>2005</c:v>
                </c:pt>
                <c:pt idx="27">
                  <c:v>2136</c:v>
                </c:pt>
                <c:pt idx="28">
                  <c:v>2127</c:v>
                </c:pt>
                <c:pt idx="29">
                  <c:v>2152</c:v>
                </c:pt>
                <c:pt idx="30">
                  <c:v>2057</c:v>
                </c:pt>
                <c:pt idx="31">
                  <c:v>2126</c:v>
                </c:pt>
                <c:pt idx="32">
                  <c:v>2100</c:v>
                </c:pt>
                <c:pt idx="33">
                  <c:v>2110</c:v>
                </c:pt>
                <c:pt idx="34">
                  <c:v>2045</c:v>
                </c:pt>
                <c:pt idx="35">
                  <c:v>2166</c:v>
                </c:pt>
                <c:pt idx="36">
                  <c:v>2191</c:v>
                </c:pt>
                <c:pt idx="37">
                  <c:v>2035</c:v>
                </c:pt>
                <c:pt idx="38">
                  <c:v>2008</c:v>
                </c:pt>
                <c:pt idx="39">
                  <c:v>2162</c:v>
                </c:pt>
                <c:pt idx="40">
                  <c:v>2175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5A-4938-B677-4F2A5C47D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963488"/>
        <c:axId val="527956288"/>
      </c:lineChart>
      <c:dateAx>
        <c:axId val="5279634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56288"/>
        <c:crosses val="autoZero"/>
        <c:auto val="1"/>
        <c:lblOffset val="100"/>
        <c:baseTimeUnit val="days"/>
      </c:dateAx>
      <c:valAx>
        <c:axId val="52795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6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Orders</a:t>
            </a:r>
            <a:r>
              <a:rPr lang="en-IN" baseline="0"/>
              <a:t> vs Conversion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996083996745927E-2"/>
          <c:y val="0.22164570364649136"/>
          <c:w val="0.82551357003362713"/>
          <c:h val="0.56583172636737034"/>
        </c:manualLayout>
      </c:layout>
      <c:areaChart>
        <c:grouping val="stacked"/>
        <c:varyColors val="0"/>
        <c:ser>
          <c:idx val="0"/>
          <c:order val="0"/>
          <c:tx>
            <c:strRef>
              <c:f>'Line Chart and Combo Chart'!$L$3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/>
            </a:solidFill>
            <a:ln w="3810">
              <a:solidFill>
                <a:schemeClr val="bg1">
                  <a:alpha val="99000"/>
                </a:schemeClr>
              </a:solidFill>
              <a:bevel/>
            </a:ln>
            <a:effectLst/>
          </c:spPr>
          <c:cat>
            <c:strRef>
              <c:f>'Line Chart and Combo Chart'!$K$4:$K$15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 and Combo Chart'!$L$4:$L$15</c:f>
              <c:numCache>
                <c:formatCode>General</c:formatCode>
                <c:ptCount val="12"/>
                <c:pt idx="0">
                  <c:v>62730</c:v>
                </c:pt>
                <c:pt idx="1">
                  <c:v>64620</c:v>
                </c:pt>
                <c:pt idx="2">
                  <c:v>62010</c:v>
                </c:pt>
                <c:pt idx="3">
                  <c:v>60030</c:v>
                </c:pt>
                <c:pt idx="4">
                  <c:v>64560</c:v>
                </c:pt>
                <c:pt idx="5">
                  <c:v>62370</c:v>
                </c:pt>
                <c:pt idx="6">
                  <c:v>65520</c:v>
                </c:pt>
                <c:pt idx="7">
                  <c:v>63420</c:v>
                </c:pt>
                <c:pt idx="8">
                  <c:v>60900</c:v>
                </c:pt>
                <c:pt idx="9">
                  <c:v>65910</c:v>
                </c:pt>
                <c:pt idx="10">
                  <c:v>60840</c:v>
                </c:pt>
                <c:pt idx="11">
                  <c:v>60510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0-48A1-9381-E42D5C982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939488"/>
        <c:axId val="527954368"/>
      </c:areaChart>
      <c:barChart>
        <c:barDir val="col"/>
        <c:grouping val="clustered"/>
        <c:varyColors val="0"/>
        <c:ser>
          <c:idx val="1"/>
          <c:order val="1"/>
          <c:tx>
            <c:strRef>
              <c:f>'Line Chart and Combo Chart'!$M$3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'Line Chart and Combo Chart'!$K$4:$K$15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 and Combo Chart'!$M$4:$M$15</c:f>
              <c:numCache>
                <c:formatCode>0.0%</c:formatCode>
                <c:ptCount val="12"/>
                <c:pt idx="0">
                  <c:v>3.5200000000000002E-2</c:v>
                </c:pt>
                <c:pt idx="1">
                  <c:v>4.7800000000000002E-2</c:v>
                </c:pt>
                <c:pt idx="2">
                  <c:v>3.1800000000000002E-2</c:v>
                </c:pt>
                <c:pt idx="3">
                  <c:v>3.1399999999999997E-2</c:v>
                </c:pt>
                <c:pt idx="4">
                  <c:v>4.1300000000000003E-2</c:v>
                </c:pt>
                <c:pt idx="5">
                  <c:v>4.8000000000000001E-2</c:v>
                </c:pt>
                <c:pt idx="6">
                  <c:v>3.44E-2</c:v>
                </c:pt>
                <c:pt idx="7">
                  <c:v>3.5900000000000001E-2</c:v>
                </c:pt>
                <c:pt idx="8">
                  <c:v>3.3399999999999999E-2</c:v>
                </c:pt>
                <c:pt idx="9">
                  <c:v>4.5199999999999997E-2</c:v>
                </c:pt>
                <c:pt idx="10">
                  <c:v>3.5499999999999997E-2</c:v>
                </c:pt>
                <c:pt idx="11">
                  <c:v>4.3799999999999999E-2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A0-48A1-9381-E42D5C982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7983648"/>
        <c:axId val="527986048"/>
      </c:barChart>
      <c:catAx>
        <c:axId val="52798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86048"/>
        <c:crosses val="autoZero"/>
        <c:auto val="1"/>
        <c:lblAlgn val="ctr"/>
        <c:lblOffset val="100"/>
        <c:noMultiLvlLbl val="0"/>
      </c:catAx>
      <c:valAx>
        <c:axId val="52798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83648"/>
        <c:crosses val="autoZero"/>
        <c:crossBetween val="between"/>
      </c:valAx>
      <c:valAx>
        <c:axId val="5279543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39488"/>
        <c:crosses val="max"/>
        <c:crossBetween val="between"/>
      </c:valAx>
      <c:catAx>
        <c:axId val="527939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7954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Vs Marketing Cost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 and Combo Chart'!$Q$3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 and Combo Chart'!$P$4:$P$15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 and Combo Chart'!$Q$4:$Q$15</c:f>
              <c:numCache>
                <c:formatCode>General</c:formatCode>
                <c:ptCount val="12"/>
                <c:pt idx="0">
                  <c:v>1294138</c:v>
                </c:pt>
                <c:pt idx="1">
                  <c:v>1409663</c:v>
                </c:pt>
                <c:pt idx="2">
                  <c:v>1232520</c:v>
                </c:pt>
                <c:pt idx="3">
                  <c:v>1087439</c:v>
                </c:pt>
                <c:pt idx="4">
                  <c:v>1085880</c:v>
                </c:pt>
                <c:pt idx="5">
                  <c:v>1165347</c:v>
                </c:pt>
                <c:pt idx="6">
                  <c:v>1390923</c:v>
                </c:pt>
                <c:pt idx="7">
                  <c:v>1004237</c:v>
                </c:pt>
                <c:pt idx="8">
                  <c:v>1165063</c:v>
                </c:pt>
                <c:pt idx="9">
                  <c:v>1469249</c:v>
                </c:pt>
                <c:pt idx="10">
                  <c:v>1150852</c:v>
                </c:pt>
                <c:pt idx="11">
                  <c:v>1264893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BD-4053-AB06-873CD7E6F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919632"/>
        <c:axId val="82926832"/>
      </c:lineChart>
      <c:lineChart>
        <c:grouping val="standard"/>
        <c:varyColors val="0"/>
        <c:ser>
          <c:idx val="1"/>
          <c:order val="1"/>
          <c:tx>
            <c:strRef>
              <c:f>'Line Chart and Combo Chart'!$R$3</c:f>
              <c:strCache>
                <c:ptCount val="1"/>
                <c:pt idx="0">
                  <c:v>Marketing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 Chart and Combo Chart'!$P$4:$P$15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 and Combo Chart'!$R$4:$R$15</c:f>
              <c:numCache>
                <c:formatCode>General</c:formatCode>
                <c:ptCount val="12"/>
                <c:pt idx="0">
                  <c:v>104057</c:v>
                </c:pt>
                <c:pt idx="1">
                  <c:v>148384</c:v>
                </c:pt>
                <c:pt idx="2">
                  <c:v>111642</c:v>
                </c:pt>
                <c:pt idx="3">
                  <c:v>133834</c:v>
                </c:pt>
                <c:pt idx="4">
                  <c:v>103128</c:v>
                </c:pt>
                <c:pt idx="5">
                  <c:v>117452</c:v>
                </c:pt>
                <c:pt idx="6">
                  <c:v>111526</c:v>
                </c:pt>
                <c:pt idx="7">
                  <c:v>117867</c:v>
                </c:pt>
                <c:pt idx="8">
                  <c:v>130559</c:v>
                </c:pt>
                <c:pt idx="9">
                  <c:v>146276</c:v>
                </c:pt>
                <c:pt idx="10">
                  <c:v>147901</c:v>
                </c:pt>
                <c:pt idx="11">
                  <c:v>124530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BD-4053-AB06-873CD7E6F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628464"/>
        <c:axId val="518632784"/>
      </c:lineChart>
      <c:catAx>
        <c:axId val="8291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26832"/>
        <c:crosses val="autoZero"/>
        <c:auto val="1"/>
        <c:lblAlgn val="ctr"/>
        <c:lblOffset val="100"/>
        <c:noMultiLvlLbl val="0"/>
      </c:catAx>
      <c:valAx>
        <c:axId val="8292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963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5186327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28464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518628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8632784"/>
        <c:crosses val="autoZero"/>
        <c:auto val="1"/>
        <c:lblAlgn val="ctr"/>
        <c:lblOffset val="100"/>
        <c:noMultiLvlLbl val="0"/>
      </c:catAx>
      <c:spPr>
        <a:noFill/>
        <a:ln w="25400"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Performance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Charts'!$G$4</c:f>
              <c:strCache>
                <c:ptCount val="1"/>
                <c:pt idx="0">
                  <c:v>Scarlett Parker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Charts'!$H$4:$K$4</c:f>
              <c:numCache>
                <c:formatCode>General</c:formatCode>
                <c:ptCount val="4"/>
                <c:pt idx="0">
                  <c:v>1046</c:v>
                </c:pt>
                <c:pt idx="1">
                  <c:v>520</c:v>
                </c:pt>
                <c:pt idx="2">
                  <c:v>211</c:v>
                </c:pt>
                <c:pt idx="3">
                  <c:v>1777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1-4A1E-87B0-95298E7B716B}"/>
            </c:ext>
          </c:extLst>
        </c:ser>
        <c:ser>
          <c:idx val="1"/>
          <c:order val="1"/>
          <c:tx>
            <c:strRef>
              <c:f>'Bar Charts'!$G$5</c:f>
              <c:strCache>
                <c:ptCount val="1"/>
                <c:pt idx="0">
                  <c:v>Willa Garcia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Charts'!$H$5:$K$5</c:f>
              <c:numCache>
                <c:formatCode>General</c:formatCode>
                <c:ptCount val="4"/>
                <c:pt idx="0">
                  <c:v>1107</c:v>
                </c:pt>
                <c:pt idx="1">
                  <c:v>588</c:v>
                </c:pt>
                <c:pt idx="2">
                  <c:v>257</c:v>
                </c:pt>
                <c:pt idx="3">
                  <c:v>1952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41-4A1E-87B0-95298E7B716B}"/>
            </c:ext>
          </c:extLst>
        </c:ser>
        <c:ser>
          <c:idx val="2"/>
          <c:order val="2"/>
          <c:tx>
            <c:strRef>
              <c:f>'Bar Charts'!$G$6</c:f>
              <c:strCache>
                <c:ptCount val="1"/>
                <c:pt idx="0">
                  <c:v>Victoria Cruz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Charts'!$H$6:$K$6</c:f>
              <c:numCache>
                <c:formatCode>General</c:formatCode>
                <c:ptCount val="4"/>
                <c:pt idx="0">
                  <c:v>1187</c:v>
                </c:pt>
                <c:pt idx="1">
                  <c:v>633</c:v>
                </c:pt>
                <c:pt idx="2">
                  <c:v>262</c:v>
                </c:pt>
                <c:pt idx="3">
                  <c:v>2082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41-4A1E-87B0-95298E7B716B}"/>
            </c:ext>
          </c:extLst>
        </c:ser>
        <c:ser>
          <c:idx val="3"/>
          <c:order val="3"/>
          <c:tx>
            <c:strRef>
              <c:f>'Bar Charts'!$G$7</c:f>
              <c:strCache>
                <c:ptCount val="1"/>
                <c:pt idx="0">
                  <c:v>Samuel Allen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Charts'!$H$7:$K$7</c:f>
              <c:numCache>
                <c:formatCode>General</c:formatCode>
                <c:ptCount val="4"/>
                <c:pt idx="0">
                  <c:v>1006</c:v>
                </c:pt>
                <c:pt idx="1">
                  <c:v>634</c:v>
                </c:pt>
                <c:pt idx="2">
                  <c:v>223</c:v>
                </c:pt>
                <c:pt idx="3">
                  <c:v>1863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41-4A1E-87B0-95298E7B716B}"/>
            </c:ext>
          </c:extLst>
        </c:ser>
        <c:ser>
          <c:idx val="4"/>
          <c:order val="4"/>
          <c:tx>
            <c:strRef>
              <c:f>'Bar Charts'!$G$8</c:f>
              <c:strCache>
                <c:ptCount val="1"/>
                <c:pt idx="0">
                  <c:v>Noah Perry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Charts'!$H$8:$K$8</c:f>
              <c:numCache>
                <c:formatCode>General</c:formatCode>
                <c:ptCount val="4"/>
                <c:pt idx="0">
                  <c:v>1178</c:v>
                </c:pt>
                <c:pt idx="1">
                  <c:v>566</c:v>
                </c:pt>
                <c:pt idx="2">
                  <c:v>219</c:v>
                </c:pt>
                <c:pt idx="3">
                  <c:v>1963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41-4A1E-87B0-95298E7B716B}"/>
            </c:ext>
          </c:extLst>
        </c:ser>
        <c:ser>
          <c:idx val="5"/>
          <c:order val="5"/>
          <c:tx>
            <c:strRef>
              <c:f>'Bar Charts'!$G$9</c:f>
              <c:strCache>
                <c:ptCount val="1"/>
                <c:pt idx="0">
                  <c:v>Zoe Brooks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Charts'!$H$9:$K$9</c:f>
              <c:numCache>
                <c:formatCode>General</c:formatCode>
                <c:ptCount val="4"/>
                <c:pt idx="0">
                  <c:v>1051</c:v>
                </c:pt>
                <c:pt idx="1">
                  <c:v>508</c:v>
                </c:pt>
                <c:pt idx="2">
                  <c:v>236</c:v>
                </c:pt>
                <c:pt idx="3">
                  <c:v>1795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41-4A1E-87B0-95298E7B716B}"/>
            </c:ext>
          </c:extLst>
        </c:ser>
        <c:ser>
          <c:idx val="6"/>
          <c:order val="6"/>
          <c:tx>
            <c:strRef>
              <c:f>'Bar Charts'!$G$10</c:f>
              <c:strCache>
                <c:ptCount val="1"/>
                <c:pt idx="0">
                  <c:v>Noah Rogers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Charts'!$H$10:$K$10</c:f>
              <c:numCache>
                <c:formatCode>General</c:formatCode>
                <c:ptCount val="4"/>
                <c:pt idx="0">
                  <c:v>1171</c:v>
                </c:pt>
                <c:pt idx="1">
                  <c:v>614</c:v>
                </c:pt>
                <c:pt idx="2">
                  <c:v>288</c:v>
                </c:pt>
                <c:pt idx="3">
                  <c:v>2073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41-4A1E-87B0-95298E7B716B}"/>
            </c:ext>
          </c:extLst>
        </c:ser>
        <c:ser>
          <c:idx val="7"/>
          <c:order val="7"/>
          <c:tx>
            <c:strRef>
              <c:f>'Bar Charts'!$G$11</c:f>
              <c:strCache>
                <c:ptCount val="1"/>
                <c:pt idx="0">
                  <c:v>Samuel Ortiz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Charts'!$H$11:$K$11</c:f>
              <c:numCache>
                <c:formatCode>General</c:formatCode>
                <c:ptCount val="4"/>
                <c:pt idx="0">
                  <c:v>1066</c:v>
                </c:pt>
                <c:pt idx="1">
                  <c:v>583</c:v>
                </c:pt>
                <c:pt idx="2">
                  <c:v>295</c:v>
                </c:pt>
                <c:pt idx="3">
                  <c:v>1944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841-4A1E-87B0-95298E7B716B}"/>
            </c:ext>
          </c:extLst>
        </c:ser>
        <c:ser>
          <c:idx val="8"/>
          <c:order val="8"/>
          <c:tx>
            <c:strRef>
              <c:f>'Bar Charts'!$G$12</c:f>
              <c:strCache>
                <c:ptCount val="1"/>
                <c:pt idx="0">
                  <c:v>Adalynn Bailey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Charts'!$H$12:$K$12</c:f>
              <c:numCache>
                <c:formatCode>General</c:formatCode>
                <c:ptCount val="4"/>
                <c:pt idx="0">
                  <c:v>1064</c:v>
                </c:pt>
                <c:pt idx="1">
                  <c:v>584</c:v>
                </c:pt>
                <c:pt idx="2">
                  <c:v>274</c:v>
                </c:pt>
                <c:pt idx="3">
                  <c:v>1922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841-4A1E-87B0-95298E7B716B}"/>
            </c:ext>
          </c:extLst>
        </c:ser>
        <c:ser>
          <c:idx val="9"/>
          <c:order val="9"/>
          <c:tx>
            <c:strRef>
              <c:f>'Bar Charts'!$G$13</c:f>
              <c:strCache>
                <c:ptCount val="1"/>
                <c:pt idx="0">
                  <c:v>Scarlett Morris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Charts'!$H$13:$K$13</c:f>
              <c:numCache>
                <c:formatCode>General</c:formatCode>
                <c:ptCount val="4"/>
                <c:pt idx="0">
                  <c:v>1069</c:v>
                </c:pt>
                <c:pt idx="1">
                  <c:v>588</c:v>
                </c:pt>
                <c:pt idx="2">
                  <c:v>260</c:v>
                </c:pt>
                <c:pt idx="3">
                  <c:v>1917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841-4A1E-87B0-95298E7B716B}"/>
            </c:ext>
          </c:extLst>
        </c:ser>
        <c:ser>
          <c:idx val="10"/>
          <c:order val="10"/>
          <c:tx>
            <c:strRef>
              <c:f>'Bar Charts'!$G$14</c:f>
              <c:strCache>
                <c:ptCount val="1"/>
                <c:pt idx="0">
                  <c:v>Victoria Adams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Charts'!$H$14:$K$14</c:f>
              <c:numCache>
                <c:formatCode>General</c:formatCode>
                <c:ptCount val="4"/>
                <c:pt idx="0">
                  <c:v>1024</c:v>
                </c:pt>
                <c:pt idx="1">
                  <c:v>688</c:v>
                </c:pt>
                <c:pt idx="2">
                  <c:v>293</c:v>
                </c:pt>
                <c:pt idx="3">
                  <c:v>2005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841-4A1E-87B0-95298E7B716B}"/>
            </c:ext>
          </c:extLst>
        </c:ser>
        <c:ser>
          <c:idx val="11"/>
          <c:order val="11"/>
          <c:tx>
            <c:strRef>
              <c:f>'Bar Charts'!$G$15</c:f>
              <c:strCache>
                <c:ptCount val="1"/>
                <c:pt idx="0">
                  <c:v>Joseph Ward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Charts'!$H$15:$K$15</c:f>
              <c:numCache>
                <c:formatCode>General</c:formatCode>
                <c:ptCount val="4"/>
                <c:pt idx="0">
                  <c:v>1013</c:v>
                </c:pt>
                <c:pt idx="1">
                  <c:v>571</c:v>
                </c:pt>
                <c:pt idx="2">
                  <c:v>226</c:v>
                </c:pt>
                <c:pt idx="3">
                  <c:v>1810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841-4A1E-87B0-95298E7B716B}"/>
            </c:ext>
          </c:extLst>
        </c:ser>
        <c:ser>
          <c:idx val="12"/>
          <c:order val="12"/>
          <c:tx>
            <c:strRef>
              <c:f>'Bar Charts'!$G$16</c:f>
              <c:strCache>
                <c:ptCount val="1"/>
                <c:pt idx="0">
                  <c:v>Caroline Ramirez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Charts'!$H$16:$K$16</c:f>
              <c:numCache>
                <c:formatCode>General</c:formatCode>
                <c:ptCount val="4"/>
                <c:pt idx="0">
                  <c:v>1023</c:v>
                </c:pt>
                <c:pt idx="1">
                  <c:v>581</c:v>
                </c:pt>
                <c:pt idx="2">
                  <c:v>226</c:v>
                </c:pt>
                <c:pt idx="3">
                  <c:v>1830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841-4A1E-87B0-95298E7B716B}"/>
            </c:ext>
          </c:extLst>
        </c:ser>
        <c:ser>
          <c:idx val="13"/>
          <c:order val="13"/>
          <c:tx>
            <c:strRef>
              <c:f>'Bar Charts'!$G$17</c:f>
              <c:strCache>
                <c:ptCount val="1"/>
                <c:pt idx="0">
                  <c:v>Isabella Cox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Charts'!$H$17:$K$17</c:f>
              <c:numCache>
                <c:formatCode>General</c:formatCode>
                <c:ptCount val="4"/>
                <c:pt idx="0">
                  <c:v>1172</c:v>
                </c:pt>
                <c:pt idx="1">
                  <c:v>610</c:v>
                </c:pt>
                <c:pt idx="2">
                  <c:v>202</c:v>
                </c:pt>
                <c:pt idx="3">
                  <c:v>1984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841-4A1E-87B0-95298E7B716B}"/>
            </c:ext>
          </c:extLst>
        </c:ser>
        <c:ser>
          <c:idx val="14"/>
          <c:order val="14"/>
          <c:tx>
            <c:strRef>
              <c:f>'Bar Charts'!$G$18</c:f>
              <c:strCache>
                <c:ptCount val="1"/>
                <c:pt idx="0">
                  <c:v>Daniel Campbell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Charts'!$H$18:$K$18</c:f>
              <c:numCache>
                <c:formatCode>General</c:formatCode>
                <c:ptCount val="4"/>
                <c:pt idx="0">
                  <c:v>1035</c:v>
                </c:pt>
                <c:pt idx="1">
                  <c:v>531</c:v>
                </c:pt>
                <c:pt idx="2">
                  <c:v>225</c:v>
                </c:pt>
                <c:pt idx="3">
                  <c:v>1791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841-4A1E-87B0-95298E7B716B}"/>
            </c:ext>
          </c:extLst>
        </c:ser>
        <c:ser>
          <c:idx val="15"/>
          <c:order val="15"/>
          <c:tx>
            <c:strRef>
              <c:f>'Bar Charts'!$G$19</c:f>
              <c:strCache>
                <c:ptCount val="1"/>
                <c:pt idx="0">
                  <c:v>Sienna Jackson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Charts'!$H$19:$K$19</c:f>
              <c:numCache>
                <c:formatCode>General</c:formatCode>
                <c:ptCount val="4"/>
                <c:pt idx="0">
                  <c:v>1170</c:v>
                </c:pt>
                <c:pt idx="1">
                  <c:v>591</c:v>
                </c:pt>
                <c:pt idx="2">
                  <c:v>220</c:v>
                </c:pt>
                <c:pt idx="3">
                  <c:v>1981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841-4A1E-87B0-95298E7B716B}"/>
            </c:ext>
          </c:extLst>
        </c:ser>
        <c:ser>
          <c:idx val="16"/>
          <c:order val="16"/>
          <c:tx>
            <c:strRef>
              <c:f>'Bar Charts'!$G$20</c:f>
              <c:strCache>
                <c:ptCount val="1"/>
                <c:pt idx="0">
                  <c:v>Harper Hernandez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Charts'!$H$20:$K$20</c:f>
              <c:numCache>
                <c:formatCode>General</c:formatCode>
                <c:ptCount val="4"/>
                <c:pt idx="0">
                  <c:v>1155</c:v>
                </c:pt>
                <c:pt idx="1">
                  <c:v>507</c:v>
                </c:pt>
                <c:pt idx="2">
                  <c:v>215</c:v>
                </c:pt>
                <c:pt idx="3">
                  <c:v>1877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841-4A1E-87B0-95298E7B716B}"/>
            </c:ext>
          </c:extLst>
        </c:ser>
        <c:ser>
          <c:idx val="17"/>
          <c:order val="17"/>
          <c:tx>
            <c:strRef>
              <c:f>'Bar Charts'!$G$21</c:f>
              <c:strCache>
                <c:ptCount val="1"/>
                <c:pt idx="0">
                  <c:v>Harper Russell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Charts'!$H$21:$K$21</c:f>
              <c:numCache>
                <c:formatCode>General</c:formatCode>
                <c:ptCount val="4"/>
                <c:pt idx="0">
                  <c:v>1021</c:v>
                </c:pt>
                <c:pt idx="1">
                  <c:v>632</c:v>
                </c:pt>
                <c:pt idx="2">
                  <c:v>270</c:v>
                </c:pt>
                <c:pt idx="3">
                  <c:v>1923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841-4A1E-87B0-95298E7B7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7699663"/>
        <c:axId val="547695343"/>
      </c:barChart>
      <c:catAx>
        <c:axId val="54769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695343"/>
        <c:crosses val="autoZero"/>
        <c:auto val="1"/>
        <c:lblAlgn val="ctr"/>
        <c:lblOffset val="100"/>
        <c:noMultiLvlLbl val="0"/>
      </c:catAx>
      <c:valAx>
        <c:axId val="54769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69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Chart'!$D$32</c:f>
              <c:strCache>
                <c:ptCount val="1"/>
                <c:pt idx="0">
                  <c:v>Spend (euros)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C5-4698-B5CB-04F2CFC526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C5-4698-B5CB-04F2CFC526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C5-4698-B5CB-04F2CFC526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Chart'!$C$33:$C$35</c:f>
              <c:strCache>
                <c:ptCount val="3"/>
                <c:pt idx="0">
                  <c:v>Fine Dine</c:v>
                </c:pt>
                <c:pt idx="1">
                  <c:v>Self Cooking</c:v>
                </c:pt>
                <c:pt idx="2">
                  <c:v>Online order</c:v>
                </c:pt>
              </c:strCache>
            </c:strRef>
          </c:cat>
          <c:val>
            <c:numRef>
              <c:f>'Pie Chart'!$D$33:$D$35</c:f>
              <c:numCache>
                <c:formatCode>General</c:formatCode>
                <c:ptCount val="3"/>
                <c:pt idx="0">
                  <c:v>124</c:v>
                </c:pt>
                <c:pt idx="1">
                  <c:v>520</c:v>
                </c:pt>
                <c:pt idx="2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6-4562-99E4-D92F0038784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Charts'!$C$3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'Bar Charts'!$B$4:$B$36</c:f>
              <c:strCache>
                <c:ptCount val="33"/>
                <c:pt idx="0">
                  <c:v>Uttar Pradesh (UP)</c:v>
                </c:pt>
                <c:pt idx="1">
                  <c:v>Maharashtra (MH)</c:v>
                </c:pt>
                <c:pt idx="2">
                  <c:v>Bihar (BR)</c:v>
                </c:pt>
                <c:pt idx="3">
                  <c:v>West Bengal (WB)</c:v>
                </c:pt>
                <c:pt idx="4">
                  <c:v>Tamil Nadu (TN)</c:v>
                </c:pt>
                <c:pt idx="5">
                  <c:v>Madhya Pradesh (MP)</c:v>
                </c:pt>
                <c:pt idx="6">
                  <c:v>Rajasthan (RJ)</c:v>
                </c:pt>
                <c:pt idx="7">
                  <c:v>Gujarat (GJ)</c:v>
                </c:pt>
                <c:pt idx="8">
                  <c:v>Karnataka (KA)</c:v>
                </c:pt>
                <c:pt idx="9">
                  <c:v>Andhra Pradesh (AP)</c:v>
                </c:pt>
                <c:pt idx="10">
                  <c:v>Odisha (OD)</c:v>
                </c:pt>
                <c:pt idx="11">
                  <c:v>Arunachal Pradesh (AR)</c:v>
                </c:pt>
                <c:pt idx="12">
                  <c:v>Telangana (TS)</c:v>
                </c:pt>
                <c:pt idx="13">
                  <c:v>Kerala (KL)</c:v>
                </c:pt>
                <c:pt idx="14">
                  <c:v>Jharkhand (JH)</c:v>
                </c:pt>
                <c:pt idx="15">
                  <c:v>Punjab (PB)</c:v>
                </c:pt>
                <c:pt idx="16">
                  <c:v>Chhattisgarh (CG)</c:v>
                </c:pt>
                <c:pt idx="17">
                  <c:v>Haryana (HR)</c:v>
                </c:pt>
                <c:pt idx="18">
                  <c:v>National Capital Territory of Delhi (DL)</c:v>
                </c:pt>
                <c:pt idx="19">
                  <c:v>Jammu and Kashmir (JK)</c:v>
                </c:pt>
                <c:pt idx="20">
                  <c:v>Uttarakhand (UK)</c:v>
                </c:pt>
                <c:pt idx="21">
                  <c:v>Himachal Pradesh (HP)</c:v>
                </c:pt>
                <c:pt idx="22">
                  <c:v>Tripura (TR)</c:v>
                </c:pt>
                <c:pt idx="23">
                  <c:v>Meghalaya (ML)</c:v>
                </c:pt>
                <c:pt idx="24">
                  <c:v>Manipur (MN)</c:v>
                </c:pt>
                <c:pt idx="25">
                  <c:v>Nagaland (NL)</c:v>
                </c:pt>
                <c:pt idx="26">
                  <c:v>Goa (GA)</c:v>
                </c:pt>
                <c:pt idx="27">
                  <c:v>Mizoram (MZ)</c:v>
                </c:pt>
                <c:pt idx="28">
                  <c:v>Chandigarh (CH)</c:v>
                </c:pt>
                <c:pt idx="29">
                  <c:v>Sikkim (SK)</c:v>
                </c:pt>
                <c:pt idx="30">
                  <c:v>Andaman and Nicobar (AN)</c:v>
                </c:pt>
                <c:pt idx="31">
                  <c:v>Dadra and Nagar Haveli and Daman and Diu (DD)</c:v>
                </c:pt>
                <c:pt idx="32">
                  <c:v>Ladakh (LA)</c:v>
                </c:pt>
              </c:strCache>
            </c:strRef>
          </c:cat>
          <c:val>
            <c:numRef>
              <c:f>'Bar Charts'!$C$4:$C$36</c:f>
              <c:numCache>
                <c:formatCode>General</c:formatCode>
                <c:ptCount val="33"/>
                <c:pt idx="0">
                  <c:v>205867440</c:v>
                </c:pt>
                <c:pt idx="1">
                  <c:v>112378989</c:v>
                </c:pt>
                <c:pt idx="2">
                  <c:v>103817951</c:v>
                </c:pt>
                <c:pt idx="3">
                  <c:v>92828987</c:v>
                </c:pt>
                <c:pt idx="4">
                  <c:v>76018492</c:v>
                </c:pt>
                <c:pt idx="5">
                  <c:v>73573914</c:v>
                </c:pt>
                <c:pt idx="6">
                  <c:v>68582836</c:v>
                </c:pt>
                <c:pt idx="7">
                  <c:v>65930328</c:v>
                </c:pt>
                <c:pt idx="8">
                  <c:v>60965960</c:v>
                </c:pt>
                <c:pt idx="9">
                  <c:v>49576771</c:v>
                </c:pt>
                <c:pt idx="10">
                  <c:v>41961570</c:v>
                </c:pt>
                <c:pt idx="11">
                  <c:v>36639846</c:v>
                </c:pt>
                <c:pt idx="12">
                  <c:v>36366570</c:v>
                </c:pt>
                <c:pt idx="13">
                  <c:v>33387677</c:v>
                </c:pt>
                <c:pt idx="14">
                  <c:v>32965818</c:v>
                </c:pt>
                <c:pt idx="15">
                  <c:v>30940627</c:v>
                </c:pt>
                <c:pt idx="16">
                  <c:v>28203067</c:v>
                </c:pt>
                <c:pt idx="17">
                  <c:v>25855357</c:v>
                </c:pt>
                <c:pt idx="18">
                  <c:v>18288577</c:v>
                </c:pt>
                <c:pt idx="19">
                  <c:v>12258093</c:v>
                </c:pt>
                <c:pt idx="20">
                  <c:v>10116752</c:v>
                </c:pt>
                <c:pt idx="21">
                  <c:v>6856509</c:v>
                </c:pt>
                <c:pt idx="22">
                  <c:v>3671032</c:v>
                </c:pt>
                <c:pt idx="23">
                  <c:v>3496366</c:v>
                </c:pt>
                <c:pt idx="24">
                  <c:v>3246575</c:v>
                </c:pt>
                <c:pt idx="25">
                  <c:v>2570303</c:v>
                </c:pt>
                <c:pt idx="26">
                  <c:v>1457723</c:v>
                </c:pt>
                <c:pt idx="27">
                  <c:v>1119482</c:v>
                </c:pt>
                <c:pt idx="28">
                  <c:v>1055450</c:v>
                </c:pt>
                <c:pt idx="29">
                  <c:v>747031</c:v>
                </c:pt>
                <c:pt idx="30">
                  <c:v>380581</c:v>
                </c:pt>
                <c:pt idx="31">
                  <c:v>343709</c:v>
                </c:pt>
                <c:pt idx="32">
                  <c:v>276875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C-EF4E-BA33-0652FCFEA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102823551"/>
        <c:axId val="1102672639"/>
      </c:barChart>
      <c:catAx>
        <c:axId val="110282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672639"/>
        <c:crosses val="autoZero"/>
        <c:auto val="1"/>
        <c:lblAlgn val="ctr"/>
        <c:lblOffset val="100"/>
        <c:noMultiLvlLbl val="0"/>
      </c:catAx>
      <c:valAx>
        <c:axId val="110267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823551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1586735708550931E-2"/>
                <c:y val="0.34382666452407734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Charts'!$H$3</c:f>
              <c:strCache>
                <c:ptCount val="1"/>
                <c:pt idx="0">
                  <c:v>Home Appliance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Charts'!$G$4:$G$21</c:f>
              <c:strCache>
                <c:ptCount val="18"/>
                <c:pt idx="0">
                  <c:v>Scarlett Parker</c:v>
                </c:pt>
                <c:pt idx="1">
                  <c:v>Willa Garcia</c:v>
                </c:pt>
                <c:pt idx="2">
                  <c:v>Victoria Cruz</c:v>
                </c:pt>
                <c:pt idx="3">
                  <c:v>Samuel Allen</c:v>
                </c:pt>
                <c:pt idx="4">
                  <c:v>Noah Perry</c:v>
                </c:pt>
                <c:pt idx="5">
                  <c:v>Zoe Brooks</c:v>
                </c:pt>
                <c:pt idx="6">
                  <c:v>Noah Rogers</c:v>
                </c:pt>
                <c:pt idx="7">
                  <c:v>Samuel Ortiz</c:v>
                </c:pt>
                <c:pt idx="8">
                  <c:v>Adalynn Bailey</c:v>
                </c:pt>
                <c:pt idx="9">
                  <c:v>Scarlett Morris</c:v>
                </c:pt>
                <c:pt idx="10">
                  <c:v>Victoria Adams</c:v>
                </c:pt>
                <c:pt idx="11">
                  <c:v>Joseph Ward</c:v>
                </c:pt>
                <c:pt idx="12">
                  <c:v>Caroline Ramirez</c:v>
                </c:pt>
                <c:pt idx="13">
                  <c:v>Isabella Cox</c:v>
                </c:pt>
                <c:pt idx="14">
                  <c:v>Daniel Campbell</c:v>
                </c:pt>
                <c:pt idx="15">
                  <c:v>Sienna Jackson</c:v>
                </c:pt>
                <c:pt idx="16">
                  <c:v>Harper Hernandez</c:v>
                </c:pt>
                <c:pt idx="17">
                  <c:v>Harper Russell</c:v>
                </c:pt>
              </c:strCache>
            </c:strRef>
          </c:cat>
          <c:val>
            <c:numRef>
              <c:f>'Bar Charts'!$H$4:$H$21</c:f>
              <c:numCache>
                <c:formatCode>General</c:formatCode>
                <c:ptCount val="18"/>
                <c:pt idx="0">
                  <c:v>1046</c:v>
                </c:pt>
                <c:pt idx="1">
                  <c:v>1107</c:v>
                </c:pt>
                <c:pt idx="2">
                  <c:v>1187</c:v>
                </c:pt>
                <c:pt idx="3">
                  <c:v>1006</c:v>
                </c:pt>
                <c:pt idx="4">
                  <c:v>1178</c:v>
                </c:pt>
                <c:pt idx="5">
                  <c:v>1051</c:v>
                </c:pt>
                <c:pt idx="6">
                  <c:v>1171</c:v>
                </c:pt>
                <c:pt idx="7">
                  <c:v>1066</c:v>
                </c:pt>
                <c:pt idx="8">
                  <c:v>1064</c:v>
                </c:pt>
                <c:pt idx="9">
                  <c:v>1069</c:v>
                </c:pt>
                <c:pt idx="10">
                  <c:v>1024</c:v>
                </c:pt>
                <c:pt idx="11">
                  <c:v>1013</c:v>
                </c:pt>
                <c:pt idx="12">
                  <c:v>1023</c:v>
                </c:pt>
                <c:pt idx="13">
                  <c:v>1172</c:v>
                </c:pt>
                <c:pt idx="14">
                  <c:v>1035</c:v>
                </c:pt>
                <c:pt idx="15">
                  <c:v>1170</c:v>
                </c:pt>
                <c:pt idx="16">
                  <c:v>1155</c:v>
                </c:pt>
                <c:pt idx="17">
                  <c:v>1021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8-F94F-8BC7-A3D0CDA4235A}"/>
            </c:ext>
          </c:extLst>
        </c:ser>
        <c:ser>
          <c:idx val="1"/>
          <c:order val="1"/>
          <c:tx>
            <c:strRef>
              <c:f>'Bar Charts'!$I$3</c:f>
              <c:strCache>
                <c:ptCount val="1"/>
                <c:pt idx="0">
                  <c:v>Home Decore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Charts'!$G$4:$G$21</c:f>
              <c:strCache>
                <c:ptCount val="18"/>
                <c:pt idx="0">
                  <c:v>Scarlett Parker</c:v>
                </c:pt>
                <c:pt idx="1">
                  <c:v>Willa Garcia</c:v>
                </c:pt>
                <c:pt idx="2">
                  <c:v>Victoria Cruz</c:v>
                </c:pt>
                <c:pt idx="3">
                  <c:v>Samuel Allen</c:v>
                </c:pt>
                <c:pt idx="4">
                  <c:v>Noah Perry</c:v>
                </c:pt>
                <c:pt idx="5">
                  <c:v>Zoe Brooks</c:v>
                </c:pt>
                <c:pt idx="6">
                  <c:v>Noah Rogers</c:v>
                </c:pt>
                <c:pt idx="7">
                  <c:v>Samuel Ortiz</c:v>
                </c:pt>
                <c:pt idx="8">
                  <c:v>Adalynn Bailey</c:v>
                </c:pt>
                <c:pt idx="9">
                  <c:v>Scarlett Morris</c:v>
                </c:pt>
                <c:pt idx="10">
                  <c:v>Victoria Adams</c:v>
                </c:pt>
                <c:pt idx="11">
                  <c:v>Joseph Ward</c:v>
                </c:pt>
                <c:pt idx="12">
                  <c:v>Caroline Ramirez</c:v>
                </c:pt>
                <c:pt idx="13">
                  <c:v>Isabella Cox</c:v>
                </c:pt>
                <c:pt idx="14">
                  <c:v>Daniel Campbell</c:v>
                </c:pt>
                <c:pt idx="15">
                  <c:v>Sienna Jackson</c:v>
                </c:pt>
                <c:pt idx="16">
                  <c:v>Harper Hernandez</c:v>
                </c:pt>
                <c:pt idx="17">
                  <c:v>Harper Russell</c:v>
                </c:pt>
              </c:strCache>
            </c:strRef>
          </c:cat>
          <c:val>
            <c:numRef>
              <c:f>'Bar Charts'!$I$4:$I$21</c:f>
              <c:numCache>
                <c:formatCode>General</c:formatCode>
                <c:ptCount val="18"/>
                <c:pt idx="0">
                  <c:v>520</c:v>
                </c:pt>
                <c:pt idx="1">
                  <c:v>588</c:v>
                </c:pt>
                <c:pt idx="2">
                  <c:v>633</c:v>
                </c:pt>
                <c:pt idx="3">
                  <c:v>634</c:v>
                </c:pt>
                <c:pt idx="4">
                  <c:v>566</c:v>
                </c:pt>
                <c:pt idx="5">
                  <c:v>508</c:v>
                </c:pt>
                <c:pt idx="6">
                  <c:v>614</c:v>
                </c:pt>
                <c:pt idx="7">
                  <c:v>583</c:v>
                </c:pt>
                <c:pt idx="8">
                  <c:v>584</c:v>
                </c:pt>
                <c:pt idx="9">
                  <c:v>588</c:v>
                </c:pt>
                <c:pt idx="10">
                  <c:v>688</c:v>
                </c:pt>
                <c:pt idx="11">
                  <c:v>571</c:v>
                </c:pt>
                <c:pt idx="12">
                  <c:v>581</c:v>
                </c:pt>
                <c:pt idx="13">
                  <c:v>610</c:v>
                </c:pt>
                <c:pt idx="14">
                  <c:v>531</c:v>
                </c:pt>
                <c:pt idx="15">
                  <c:v>591</c:v>
                </c:pt>
                <c:pt idx="16">
                  <c:v>507</c:v>
                </c:pt>
                <c:pt idx="17">
                  <c:v>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C8-F94F-8BC7-A3D0CDA4235A}"/>
            </c:ext>
          </c:extLst>
        </c:ser>
        <c:ser>
          <c:idx val="2"/>
          <c:order val="2"/>
          <c:tx>
            <c:strRef>
              <c:f>'Bar Charts'!$J$3</c:f>
              <c:strCache>
                <c:ptCount val="1"/>
                <c:pt idx="0">
                  <c:v>Stationary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Charts'!$G$4:$G$21</c:f>
              <c:strCache>
                <c:ptCount val="18"/>
                <c:pt idx="0">
                  <c:v>Scarlett Parker</c:v>
                </c:pt>
                <c:pt idx="1">
                  <c:v>Willa Garcia</c:v>
                </c:pt>
                <c:pt idx="2">
                  <c:v>Victoria Cruz</c:v>
                </c:pt>
                <c:pt idx="3">
                  <c:v>Samuel Allen</c:v>
                </c:pt>
                <c:pt idx="4">
                  <c:v>Noah Perry</c:v>
                </c:pt>
                <c:pt idx="5">
                  <c:v>Zoe Brooks</c:v>
                </c:pt>
                <c:pt idx="6">
                  <c:v>Noah Rogers</c:v>
                </c:pt>
                <c:pt idx="7">
                  <c:v>Samuel Ortiz</c:v>
                </c:pt>
                <c:pt idx="8">
                  <c:v>Adalynn Bailey</c:v>
                </c:pt>
                <c:pt idx="9">
                  <c:v>Scarlett Morris</c:v>
                </c:pt>
                <c:pt idx="10">
                  <c:v>Victoria Adams</c:v>
                </c:pt>
                <c:pt idx="11">
                  <c:v>Joseph Ward</c:v>
                </c:pt>
                <c:pt idx="12">
                  <c:v>Caroline Ramirez</c:v>
                </c:pt>
                <c:pt idx="13">
                  <c:v>Isabella Cox</c:v>
                </c:pt>
                <c:pt idx="14">
                  <c:v>Daniel Campbell</c:v>
                </c:pt>
                <c:pt idx="15">
                  <c:v>Sienna Jackson</c:v>
                </c:pt>
                <c:pt idx="16">
                  <c:v>Harper Hernandez</c:v>
                </c:pt>
                <c:pt idx="17">
                  <c:v>Harper Russell</c:v>
                </c:pt>
              </c:strCache>
            </c:strRef>
          </c:cat>
          <c:val>
            <c:numRef>
              <c:f>'Bar Charts'!$J$4:$J$21</c:f>
              <c:numCache>
                <c:formatCode>General</c:formatCode>
                <c:ptCount val="18"/>
                <c:pt idx="0">
                  <c:v>211</c:v>
                </c:pt>
                <c:pt idx="1">
                  <c:v>257</c:v>
                </c:pt>
                <c:pt idx="2">
                  <c:v>262</c:v>
                </c:pt>
                <c:pt idx="3">
                  <c:v>223</c:v>
                </c:pt>
                <c:pt idx="4">
                  <c:v>219</c:v>
                </c:pt>
                <c:pt idx="5">
                  <c:v>236</c:v>
                </c:pt>
                <c:pt idx="6">
                  <c:v>288</c:v>
                </c:pt>
                <c:pt idx="7">
                  <c:v>295</c:v>
                </c:pt>
                <c:pt idx="8">
                  <c:v>274</c:v>
                </c:pt>
                <c:pt idx="9">
                  <c:v>260</c:v>
                </c:pt>
                <c:pt idx="10">
                  <c:v>293</c:v>
                </c:pt>
                <c:pt idx="11">
                  <c:v>226</c:v>
                </c:pt>
                <c:pt idx="12">
                  <c:v>226</c:v>
                </c:pt>
                <c:pt idx="13">
                  <c:v>202</c:v>
                </c:pt>
                <c:pt idx="14">
                  <c:v>225</c:v>
                </c:pt>
                <c:pt idx="15">
                  <c:v>220</c:v>
                </c:pt>
                <c:pt idx="16">
                  <c:v>215</c:v>
                </c:pt>
                <c:pt idx="17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C8-F94F-8BC7-A3D0CDA4235A}"/>
            </c:ext>
          </c:extLst>
        </c:ser>
        <c:ser>
          <c:idx val="3"/>
          <c:order val="3"/>
          <c:tx>
            <c:strRef>
              <c:f>'Bar Charts'!$K$3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 Charts'!$G$4:$G$21</c:f>
              <c:strCache>
                <c:ptCount val="18"/>
                <c:pt idx="0">
                  <c:v>Scarlett Parker</c:v>
                </c:pt>
                <c:pt idx="1">
                  <c:v>Willa Garcia</c:v>
                </c:pt>
                <c:pt idx="2">
                  <c:v>Victoria Cruz</c:v>
                </c:pt>
                <c:pt idx="3">
                  <c:v>Samuel Allen</c:v>
                </c:pt>
                <c:pt idx="4">
                  <c:v>Noah Perry</c:v>
                </c:pt>
                <c:pt idx="5">
                  <c:v>Zoe Brooks</c:v>
                </c:pt>
                <c:pt idx="6">
                  <c:v>Noah Rogers</c:v>
                </c:pt>
                <c:pt idx="7">
                  <c:v>Samuel Ortiz</c:v>
                </c:pt>
                <c:pt idx="8">
                  <c:v>Adalynn Bailey</c:v>
                </c:pt>
                <c:pt idx="9">
                  <c:v>Scarlett Morris</c:v>
                </c:pt>
                <c:pt idx="10">
                  <c:v>Victoria Adams</c:v>
                </c:pt>
                <c:pt idx="11">
                  <c:v>Joseph Ward</c:v>
                </c:pt>
                <c:pt idx="12">
                  <c:v>Caroline Ramirez</c:v>
                </c:pt>
                <c:pt idx="13">
                  <c:v>Isabella Cox</c:v>
                </c:pt>
                <c:pt idx="14">
                  <c:v>Daniel Campbell</c:v>
                </c:pt>
                <c:pt idx="15">
                  <c:v>Sienna Jackson</c:v>
                </c:pt>
                <c:pt idx="16">
                  <c:v>Harper Hernandez</c:v>
                </c:pt>
                <c:pt idx="17">
                  <c:v>Harper Russell</c:v>
                </c:pt>
              </c:strCache>
            </c:strRef>
          </c:cat>
          <c:val>
            <c:numRef>
              <c:f>'Bar Charts'!$K$4:$K$21</c:f>
              <c:numCache>
                <c:formatCode>General</c:formatCode>
                <c:ptCount val="18"/>
                <c:pt idx="0">
                  <c:v>1777</c:v>
                </c:pt>
                <c:pt idx="1">
                  <c:v>1952</c:v>
                </c:pt>
                <c:pt idx="2">
                  <c:v>2082</c:v>
                </c:pt>
                <c:pt idx="3">
                  <c:v>1863</c:v>
                </c:pt>
                <c:pt idx="4">
                  <c:v>1963</c:v>
                </c:pt>
                <c:pt idx="5">
                  <c:v>1795</c:v>
                </c:pt>
                <c:pt idx="6">
                  <c:v>2073</c:v>
                </c:pt>
                <c:pt idx="7">
                  <c:v>1944</c:v>
                </c:pt>
                <c:pt idx="8">
                  <c:v>1922</c:v>
                </c:pt>
                <c:pt idx="9">
                  <c:v>1917</c:v>
                </c:pt>
                <c:pt idx="10">
                  <c:v>2005</c:v>
                </c:pt>
                <c:pt idx="11">
                  <c:v>1810</c:v>
                </c:pt>
                <c:pt idx="12">
                  <c:v>1830</c:v>
                </c:pt>
                <c:pt idx="13">
                  <c:v>1984</c:v>
                </c:pt>
                <c:pt idx="14">
                  <c:v>1791</c:v>
                </c:pt>
                <c:pt idx="15">
                  <c:v>1981</c:v>
                </c:pt>
                <c:pt idx="16">
                  <c:v>1877</c:v>
                </c:pt>
                <c:pt idx="17">
                  <c:v>1923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C8-F94F-8BC7-A3D0CDA42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2206959"/>
        <c:axId val="1002406799"/>
      </c:barChart>
      <c:catAx>
        <c:axId val="100220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406799"/>
        <c:crosses val="autoZero"/>
        <c:auto val="1"/>
        <c:lblAlgn val="ctr"/>
        <c:lblOffset val="100"/>
        <c:noMultiLvlLbl val="0"/>
      </c:catAx>
      <c:valAx>
        <c:axId val="100240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20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'Bar Charts'!$K$3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 Charts'!$G$4:$G$21</c:f>
              <c:strCache>
                <c:ptCount val="18"/>
                <c:pt idx="0">
                  <c:v>Scarlett Parker</c:v>
                </c:pt>
                <c:pt idx="1">
                  <c:v>Willa Garcia</c:v>
                </c:pt>
                <c:pt idx="2">
                  <c:v>Victoria Cruz</c:v>
                </c:pt>
                <c:pt idx="3">
                  <c:v>Samuel Allen</c:v>
                </c:pt>
                <c:pt idx="4">
                  <c:v>Noah Perry</c:v>
                </c:pt>
                <c:pt idx="5">
                  <c:v>Zoe Brooks</c:v>
                </c:pt>
                <c:pt idx="6">
                  <c:v>Noah Rogers</c:v>
                </c:pt>
                <c:pt idx="7">
                  <c:v>Samuel Ortiz</c:v>
                </c:pt>
                <c:pt idx="8">
                  <c:v>Adalynn Bailey</c:v>
                </c:pt>
                <c:pt idx="9">
                  <c:v>Scarlett Morris</c:v>
                </c:pt>
                <c:pt idx="10">
                  <c:v>Victoria Adams</c:v>
                </c:pt>
                <c:pt idx="11">
                  <c:v>Joseph Ward</c:v>
                </c:pt>
                <c:pt idx="12">
                  <c:v>Caroline Ramirez</c:v>
                </c:pt>
                <c:pt idx="13">
                  <c:v>Isabella Cox</c:v>
                </c:pt>
                <c:pt idx="14">
                  <c:v>Daniel Campbell</c:v>
                </c:pt>
                <c:pt idx="15">
                  <c:v>Sienna Jackson</c:v>
                </c:pt>
                <c:pt idx="16">
                  <c:v>Harper Hernandez</c:v>
                </c:pt>
                <c:pt idx="17">
                  <c:v>Harper Russell</c:v>
                </c:pt>
              </c:strCache>
            </c:strRef>
          </c:cat>
          <c:val>
            <c:numRef>
              <c:f>'Bar Charts'!$K$4:$K$21</c:f>
              <c:numCache>
                <c:formatCode>General</c:formatCode>
                <c:ptCount val="18"/>
                <c:pt idx="0">
                  <c:v>1777</c:v>
                </c:pt>
                <c:pt idx="1">
                  <c:v>1952</c:v>
                </c:pt>
                <c:pt idx="2">
                  <c:v>2082</c:v>
                </c:pt>
                <c:pt idx="3">
                  <c:v>1863</c:v>
                </c:pt>
                <c:pt idx="4">
                  <c:v>1963</c:v>
                </c:pt>
                <c:pt idx="5">
                  <c:v>1795</c:v>
                </c:pt>
                <c:pt idx="6">
                  <c:v>2073</c:v>
                </c:pt>
                <c:pt idx="7">
                  <c:v>1944</c:v>
                </c:pt>
                <c:pt idx="8">
                  <c:v>1922</c:v>
                </c:pt>
                <c:pt idx="9">
                  <c:v>1917</c:v>
                </c:pt>
                <c:pt idx="10">
                  <c:v>2005</c:v>
                </c:pt>
                <c:pt idx="11">
                  <c:v>1810</c:v>
                </c:pt>
                <c:pt idx="12">
                  <c:v>1830</c:v>
                </c:pt>
                <c:pt idx="13">
                  <c:v>1984</c:v>
                </c:pt>
                <c:pt idx="14">
                  <c:v>1791</c:v>
                </c:pt>
                <c:pt idx="15">
                  <c:v>1981</c:v>
                </c:pt>
                <c:pt idx="16">
                  <c:v>1877</c:v>
                </c:pt>
                <c:pt idx="17">
                  <c:v>1923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0-2944-8446-4B7AF401B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2206959"/>
        <c:axId val="1002406799"/>
      </c:barChart>
      <c:catAx>
        <c:axId val="100220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406799"/>
        <c:crosses val="autoZero"/>
        <c:auto val="1"/>
        <c:lblAlgn val="ctr"/>
        <c:lblOffset val="100"/>
        <c:noMultiLvlLbl val="0"/>
      </c:catAx>
      <c:valAx>
        <c:axId val="100240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20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Charts'!$G$4</c:f>
              <c:strCache>
                <c:ptCount val="1"/>
                <c:pt idx="0">
                  <c:v>Scarlett Parker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Charts'!$H$4:$K$4</c:f>
              <c:numCache>
                <c:formatCode>General</c:formatCode>
                <c:ptCount val="4"/>
                <c:pt idx="0">
                  <c:v>1046</c:v>
                </c:pt>
                <c:pt idx="1">
                  <c:v>520</c:v>
                </c:pt>
                <c:pt idx="2">
                  <c:v>211</c:v>
                </c:pt>
                <c:pt idx="3">
                  <c:v>1777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F-FE41-8B77-F4E6E7BD03C6}"/>
            </c:ext>
          </c:extLst>
        </c:ser>
        <c:ser>
          <c:idx val="1"/>
          <c:order val="1"/>
          <c:tx>
            <c:strRef>
              <c:f>'Bar Charts'!$G$5</c:f>
              <c:strCache>
                <c:ptCount val="1"/>
                <c:pt idx="0">
                  <c:v>Willa Garcia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Charts'!$H$5:$K$5</c:f>
              <c:numCache>
                <c:formatCode>General</c:formatCode>
                <c:ptCount val="4"/>
                <c:pt idx="0">
                  <c:v>1107</c:v>
                </c:pt>
                <c:pt idx="1">
                  <c:v>588</c:v>
                </c:pt>
                <c:pt idx="2">
                  <c:v>257</c:v>
                </c:pt>
                <c:pt idx="3">
                  <c:v>1952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5F-FE41-8B77-F4E6E7BD03C6}"/>
            </c:ext>
          </c:extLst>
        </c:ser>
        <c:ser>
          <c:idx val="2"/>
          <c:order val="2"/>
          <c:tx>
            <c:strRef>
              <c:f>'Bar Charts'!$G$6</c:f>
              <c:strCache>
                <c:ptCount val="1"/>
                <c:pt idx="0">
                  <c:v>Victoria Cruz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Charts'!$H$6:$K$6</c:f>
              <c:numCache>
                <c:formatCode>General</c:formatCode>
                <c:ptCount val="4"/>
                <c:pt idx="0">
                  <c:v>1187</c:v>
                </c:pt>
                <c:pt idx="1">
                  <c:v>633</c:v>
                </c:pt>
                <c:pt idx="2">
                  <c:v>262</c:v>
                </c:pt>
                <c:pt idx="3">
                  <c:v>2082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5F-FE41-8B77-F4E6E7BD03C6}"/>
            </c:ext>
          </c:extLst>
        </c:ser>
        <c:ser>
          <c:idx val="3"/>
          <c:order val="3"/>
          <c:tx>
            <c:strRef>
              <c:f>'Bar Charts'!$G$7</c:f>
              <c:strCache>
                <c:ptCount val="1"/>
                <c:pt idx="0">
                  <c:v>Samuel Allen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Charts'!$H$7:$K$7</c:f>
              <c:numCache>
                <c:formatCode>General</c:formatCode>
                <c:ptCount val="4"/>
                <c:pt idx="0">
                  <c:v>1006</c:v>
                </c:pt>
                <c:pt idx="1">
                  <c:v>634</c:v>
                </c:pt>
                <c:pt idx="2">
                  <c:v>223</c:v>
                </c:pt>
                <c:pt idx="3">
                  <c:v>1863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5F-FE41-8B77-F4E6E7BD03C6}"/>
            </c:ext>
          </c:extLst>
        </c:ser>
        <c:ser>
          <c:idx val="4"/>
          <c:order val="4"/>
          <c:tx>
            <c:strRef>
              <c:f>'Bar Charts'!$G$8</c:f>
              <c:strCache>
                <c:ptCount val="1"/>
                <c:pt idx="0">
                  <c:v>Noah Perry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Charts'!$H$8:$K$8</c:f>
              <c:numCache>
                <c:formatCode>General</c:formatCode>
                <c:ptCount val="4"/>
                <c:pt idx="0">
                  <c:v>1178</c:v>
                </c:pt>
                <c:pt idx="1">
                  <c:v>566</c:v>
                </c:pt>
                <c:pt idx="2">
                  <c:v>219</c:v>
                </c:pt>
                <c:pt idx="3">
                  <c:v>1963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5F-FE41-8B77-F4E6E7BD03C6}"/>
            </c:ext>
          </c:extLst>
        </c:ser>
        <c:ser>
          <c:idx val="5"/>
          <c:order val="5"/>
          <c:tx>
            <c:strRef>
              <c:f>'Bar Charts'!$G$9</c:f>
              <c:strCache>
                <c:ptCount val="1"/>
                <c:pt idx="0">
                  <c:v>Zoe Brooks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Charts'!$H$9:$K$9</c:f>
              <c:numCache>
                <c:formatCode>General</c:formatCode>
                <c:ptCount val="4"/>
                <c:pt idx="0">
                  <c:v>1051</c:v>
                </c:pt>
                <c:pt idx="1">
                  <c:v>508</c:v>
                </c:pt>
                <c:pt idx="2">
                  <c:v>236</c:v>
                </c:pt>
                <c:pt idx="3">
                  <c:v>1795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5F-FE41-8B77-F4E6E7BD03C6}"/>
            </c:ext>
          </c:extLst>
        </c:ser>
        <c:ser>
          <c:idx val="6"/>
          <c:order val="6"/>
          <c:tx>
            <c:strRef>
              <c:f>'Bar Charts'!$G$10</c:f>
              <c:strCache>
                <c:ptCount val="1"/>
                <c:pt idx="0">
                  <c:v>Noah Rogers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Charts'!$H$10:$K$10</c:f>
              <c:numCache>
                <c:formatCode>General</c:formatCode>
                <c:ptCount val="4"/>
                <c:pt idx="0">
                  <c:v>1171</c:v>
                </c:pt>
                <c:pt idx="1">
                  <c:v>614</c:v>
                </c:pt>
                <c:pt idx="2">
                  <c:v>288</c:v>
                </c:pt>
                <c:pt idx="3">
                  <c:v>2073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5F-FE41-8B77-F4E6E7BD03C6}"/>
            </c:ext>
          </c:extLst>
        </c:ser>
        <c:ser>
          <c:idx val="7"/>
          <c:order val="7"/>
          <c:tx>
            <c:strRef>
              <c:f>'Bar Charts'!$G$11</c:f>
              <c:strCache>
                <c:ptCount val="1"/>
                <c:pt idx="0">
                  <c:v>Samuel Ortiz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Charts'!$H$11:$K$11</c:f>
              <c:numCache>
                <c:formatCode>General</c:formatCode>
                <c:ptCount val="4"/>
                <c:pt idx="0">
                  <c:v>1066</c:v>
                </c:pt>
                <c:pt idx="1">
                  <c:v>583</c:v>
                </c:pt>
                <c:pt idx="2">
                  <c:v>295</c:v>
                </c:pt>
                <c:pt idx="3">
                  <c:v>1944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5F-FE41-8B77-F4E6E7BD03C6}"/>
            </c:ext>
          </c:extLst>
        </c:ser>
        <c:ser>
          <c:idx val="8"/>
          <c:order val="8"/>
          <c:tx>
            <c:strRef>
              <c:f>'Bar Charts'!$G$12</c:f>
              <c:strCache>
                <c:ptCount val="1"/>
                <c:pt idx="0">
                  <c:v>Adalynn Bailey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Charts'!$H$12:$K$12</c:f>
              <c:numCache>
                <c:formatCode>General</c:formatCode>
                <c:ptCount val="4"/>
                <c:pt idx="0">
                  <c:v>1064</c:v>
                </c:pt>
                <c:pt idx="1">
                  <c:v>584</c:v>
                </c:pt>
                <c:pt idx="2">
                  <c:v>274</c:v>
                </c:pt>
                <c:pt idx="3">
                  <c:v>1922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5F-FE41-8B77-F4E6E7BD03C6}"/>
            </c:ext>
          </c:extLst>
        </c:ser>
        <c:ser>
          <c:idx val="9"/>
          <c:order val="9"/>
          <c:tx>
            <c:strRef>
              <c:f>'Bar Charts'!$G$13</c:f>
              <c:strCache>
                <c:ptCount val="1"/>
                <c:pt idx="0">
                  <c:v>Scarlett Morris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Charts'!$H$13:$K$13</c:f>
              <c:numCache>
                <c:formatCode>General</c:formatCode>
                <c:ptCount val="4"/>
                <c:pt idx="0">
                  <c:v>1069</c:v>
                </c:pt>
                <c:pt idx="1">
                  <c:v>588</c:v>
                </c:pt>
                <c:pt idx="2">
                  <c:v>260</c:v>
                </c:pt>
                <c:pt idx="3">
                  <c:v>1917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B5F-FE41-8B77-F4E6E7BD03C6}"/>
            </c:ext>
          </c:extLst>
        </c:ser>
        <c:ser>
          <c:idx val="10"/>
          <c:order val="10"/>
          <c:tx>
            <c:strRef>
              <c:f>'Bar Charts'!$G$14</c:f>
              <c:strCache>
                <c:ptCount val="1"/>
                <c:pt idx="0">
                  <c:v>Victoria Adams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Charts'!$H$14:$K$14</c:f>
              <c:numCache>
                <c:formatCode>General</c:formatCode>
                <c:ptCount val="4"/>
                <c:pt idx="0">
                  <c:v>1024</c:v>
                </c:pt>
                <c:pt idx="1">
                  <c:v>688</c:v>
                </c:pt>
                <c:pt idx="2">
                  <c:v>293</c:v>
                </c:pt>
                <c:pt idx="3">
                  <c:v>2005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5F-FE41-8B77-F4E6E7BD03C6}"/>
            </c:ext>
          </c:extLst>
        </c:ser>
        <c:ser>
          <c:idx val="11"/>
          <c:order val="11"/>
          <c:tx>
            <c:strRef>
              <c:f>'Bar Charts'!$G$15</c:f>
              <c:strCache>
                <c:ptCount val="1"/>
                <c:pt idx="0">
                  <c:v>Joseph Ward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Charts'!$H$15:$K$15</c:f>
              <c:numCache>
                <c:formatCode>General</c:formatCode>
                <c:ptCount val="4"/>
                <c:pt idx="0">
                  <c:v>1013</c:v>
                </c:pt>
                <c:pt idx="1">
                  <c:v>571</c:v>
                </c:pt>
                <c:pt idx="2">
                  <c:v>226</c:v>
                </c:pt>
                <c:pt idx="3">
                  <c:v>1810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B5F-FE41-8B77-F4E6E7BD03C6}"/>
            </c:ext>
          </c:extLst>
        </c:ser>
        <c:ser>
          <c:idx val="12"/>
          <c:order val="12"/>
          <c:tx>
            <c:strRef>
              <c:f>'Bar Charts'!$G$16</c:f>
              <c:strCache>
                <c:ptCount val="1"/>
                <c:pt idx="0">
                  <c:v>Caroline Ramirez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Charts'!$H$16:$K$16</c:f>
              <c:numCache>
                <c:formatCode>General</c:formatCode>
                <c:ptCount val="4"/>
                <c:pt idx="0">
                  <c:v>1023</c:v>
                </c:pt>
                <c:pt idx="1">
                  <c:v>581</c:v>
                </c:pt>
                <c:pt idx="2">
                  <c:v>226</c:v>
                </c:pt>
                <c:pt idx="3">
                  <c:v>1830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B5F-FE41-8B77-F4E6E7BD03C6}"/>
            </c:ext>
          </c:extLst>
        </c:ser>
        <c:ser>
          <c:idx val="13"/>
          <c:order val="13"/>
          <c:tx>
            <c:strRef>
              <c:f>'Bar Charts'!$G$17</c:f>
              <c:strCache>
                <c:ptCount val="1"/>
                <c:pt idx="0">
                  <c:v>Isabella Cox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Charts'!$H$17:$K$17</c:f>
              <c:numCache>
                <c:formatCode>General</c:formatCode>
                <c:ptCount val="4"/>
                <c:pt idx="0">
                  <c:v>1172</c:v>
                </c:pt>
                <c:pt idx="1">
                  <c:v>610</c:v>
                </c:pt>
                <c:pt idx="2">
                  <c:v>202</c:v>
                </c:pt>
                <c:pt idx="3">
                  <c:v>1984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B5F-FE41-8B77-F4E6E7BD03C6}"/>
            </c:ext>
          </c:extLst>
        </c:ser>
        <c:ser>
          <c:idx val="14"/>
          <c:order val="14"/>
          <c:tx>
            <c:strRef>
              <c:f>'Bar Charts'!$G$18</c:f>
              <c:strCache>
                <c:ptCount val="1"/>
                <c:pt idx="0">
                  <c:v>Daniel Campbell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Charts'!$H$18:$K$18</c:f>
              <c:numCache>
                <c:formatCode>General</c:formatCode>
                <c:ptCount val="4"/>
                <c:pt idx="0">
                  <c:v>1035</c:v>
                </c:pt>
                <c:pt idx="1">
                  <c:v>531</c:v>
                </c:pt>
                <c:pt idx="2">
                  <c:v>225</c:v>
                </c:pt>
                <c:pt idx="3">
                  <c:v>1791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B5F-FE41-8B77-F4E6E7BD03C6}"/>
            </c:ext>
          </c:extLst>
        </c:ser>
        <c:ser>
          <c:idx val="15"/>
          <c:order val="15"/>
          <c:tx>
            <c:strRef>
              <c:f>'Bar Charts'!$G$19</c:f>
              <c:strCache>
                <c:ptCount val="1"/>
                <c:pt idx="0">
                  <c:v>Sienna Jackson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Charts'!$H$19:$K$19</c:f>
              <c:numCache>
                <c:formatCode>General</c:formatCode>
                <c:ptCount val="4"/>
                <c:pt idx="0">
                  <c:v>1170</c:v>
                </c:pt>
                <c:pt idx="1">
                  <c:v>591</c:v>
                </c:pt>
                <c:pt idx="2">
                  <c:v>220</c:v>
                </c:pt>
                <c:pt idx="3">
                  <c:v>1981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B5F-FE41-8B77-F4E6E7BD03C6}"/>
            </c:ext>
          </c:extLst>
        </c:ser>
        <c:ser>
          <c:idx val="16"/>
          <c:order val="16"/>
          <c:tx>
            <c:strRef>
              <c:f>'Bar Charts'!$G$20</c:f>
              <c:strCache>
                <c:ptCount val="1"/>
                <c:pt idx="0">
                  <c:v>Harper Hernandez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Charts'!$H$20:$K$20</c:f>
              <c:numCache>
                <c:formatCode>General</c:formatCode>
                <c:ptCount val="4"/>
                <c:pt idx="0">
                  <c:v>1155</c:v>
                </c:pt>
                <c:pt idx="1">
                  <c:v>507</c:v>
                </c:pt>
                <c:pt idx="2">
                  <c:v>215</c:v>
                </c:pt>
                <c:pt idx="3">
                  <c:v>1877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B5F-FE41-8B77-F4E6E7BD03C6}"/>
            </c:ext>
          </c:extLst>
        </c:ser>
        <c:ser>
          <c:idx val="17"/>
          <c:order val="17"/>
          <c:tx>
            <c:strRef>
              <c:f>'Bar Charts'!$G$21</c:f>
              <c:strCache>
                <c:ptCount val="1"/>
                <c:pt idx="0">
                  <c:v>Harper Russell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Charts'!$H$3:$K$3</c:f>
              <c:strCache>
                <c:ptCount val="4"/>
                <c:pt idx="0">
                  <c:v>Home Appliance</c:v>
                </c:pt>
                <c:pt idx="1">
                  <c:v>Home Decore</c:v>
                </c:pt>
                <c:pt idx="2">
                  <c:v>Stationary</c:v>
                </c:pt>
                <c:pt idx="3">
                  <c:v>Total</c:v>
                </c:pt>
              </c:strCache>
            </c:strRef>
          </c:cat>
          <c:val>
            <c:numRef>
              <c:f>'Bar Charts'!$H$21:$K$21</c:f>
              <c:numCache>
                <c:formatCode>General</c:formatCode>
                <c:ptCount val="4"/>
                <c:pt idx="0">
                  <c:v>1021</c:v>
                </c:pt>
                <c:pt idx="1">
                  <c:v>632</c:v>
                </c:pt>
                <c:pt idx="2">
                  <c:v>270</c:v>
                </c:pt>
                <c:pt idx="3">
                  <c:v>1923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B5F-FE41-8B77-F4E6E7BD0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2206959"/>
        <c:axId val="1002406799"/>
      </c:barChart>
      <c:catAx>
        <c:axId val="100220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406799"/>
        <c:crosses val="autoZero"/>
        <c:auto val="1"/>
        <c:lblAlgn val="ctr"/>
        <c:lblOffset val="100"/>
        <c:noMultiLvlLbl val="0"/>
      </c:catAx>
      <c:valAx>
        <c:axId val="100240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20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'Bar Charts'!$H$3</c:f>
              <c:strCache>
                <c:ptCount val="1"/>
                <c:pt idx="0">
                  <c:v>Home Appliance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Charts'!$G$4:$G$21</c:f>
              <c:strCache>
                <c:ptCount val="18"/>
                <c:pt idx="0">
                  <c:v>Scarlett Parker</c:v>
                </c:pt>
                <c:pt idx="1">
                  <c:v>Willa Garcia</c:v>
                </c:pt>
                <c:pt idx="2">
                  <c:v>Victoria Cruz</c:v>
                </c:pt>
                <c:pt idx="3">
                  <c:v>Samuel Allen</c:v>
                </c:pt>
                <c:pt idx="4">
                  <c:v>Noah Perry</c:v>
                </c:pt>
                <c:pt idx="5">
                  <c:v>Zoe Brooks</c:v>
                </c:pt>
                <c:pt idx="6">
                  <c:v>Noah Rogers</c:v>
                </c:pt>
                <c:pt idx="7">
                  <c:v>Samuel Ortiz</c:v>
                </c:pt>
                <c:pt idx="8">
                  <c:v>Adalynn Bailey</c:v>
                </c:pt>
                <c:pt idx="9">
                  <c:v>Scarlett Morris</c:v>
                </c:pt>
                <c:pt idx="10">
                  <c:v>Victoria Adams</c:v>
                </c:pt>
                <c:pt idx="11">
                  <c:v>Joseph Ward</c:v>
                </c:pt>
                <c:pt idx="12">
                  <c:v>Caroline Ramirez</c:v>
                </c:pt>
                <c:pt idx="13">
                  <c:v>Isabella Cox</c:v>
                </c:pt>
                <c:pt idx="14">
                  <c:v>Daniel Campbell</c:v>
                </c:pt>
                <c:pt idx="15">
                  <c:v>Sienna Jackson</c:v>
                </c:pt>
                <c:pt idx="16">
                  <c:v>Harper Hernandez</c:v>
                </c:pt>
                <c:pt idx="17">
                  <c:v>Harper Russell</c:v>
                </c:pt>
              </c:strCache>
            </c:strRef>
          </c:cat>
          <c:val>
            <c:numRef>
              <c:f>'Bar Charts'!$H$4:$H$21</c:f>
              <c:numCache>
                <c:formatCode>General</c:formatCode>
                <c:ptCount val="18"/>
                <c:pt idx="0">
                  <c:v>1046</c:v>
                </c:pt>
                <c:pt idx="1">
                  <c:v>1107</c:v>
                </c:pt>
                <c:pt idx="2">
                  <c:v>1187</c:v>
                </c:pt>
                <c:pt idx="3">
                  <c:v>1006</c:v>
                </c:pt>
                <c:pt idx="4">
                  <c:v>1178</c:v>
                </c:pt>
                <c:pt idx="5">
                  <c:v>1051</c:v>
                </c:pt>
                <c:pt idx="6">
                  <c:v>1171</c:v>
                </c:pt>
                <c:pt idx="7">
                  <c:v>1066</c:v>
                </c:pt>
                <c:pt idx="8">
                  <c:v>1064</c:v>
                </c:pt>
                <c:pt idx="9">
                  <c:v>1069</c:v>
                </c:pt>
                <c:pt idx="10">
                  <c:v>1024</c:v>
                </c:pt>
                <c:pt idx="11">
                  <c:v>1013</c:v>
                </c:pt>
                <c:pt idx="12">
                  <c:v>1023</c:v>
                </c:pt>
                <c:pt idx="13">
                  <c:v>1172</c:v>
                </c:pt>
                <c:pt idx="14">
                  <c:v>1035</c:v>
                </c:pt>
                <c:pt idx="15">
                  <c:v>1170</c:v>
                </c:pt>
                <c:pt idx="16">
                  <c:v>1155</c:v>
                </c:pt>
                <c:pt idx="17">
                  <c:v>1021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6F-C54A-ADB0-DB4336E9A2DC}"/>
            </c:ext>
          </c:extLst>
        </c:ser>
        <c:ser>
          <c:idx val="1"/>
          <c:order val="1"/>
          <c:tx>
            <c:strRef>
              <c:f>'Bar Charts'!$I$3</c:f>
              <c:strCache>
                <c:ptCount val="1"/>
                <c:pt idx="0">
                  <c:v>Home Decore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Charts'!$G$4:$G$21</c:f>
              <c:strCache>
                <c:ptCount val="18"/>
                <c:pt idx="0">
                  <c:v>Scarlett Parker</c:v>
                </c:pt>
                <c:pt idx="1">
                  <c:v>Willa Garcia</c:v>
                </c:pt>
                <c:pt idx="2">
                  <c:v>Victoria Cruz</c:v>
                </c:pt>
                <c:pt idx="3">
                  <c:v>Samuel Allen</c:v>
                </c:pt>
                <c:pt idx="4">
                  <c:v>Noah Perry</c:v>
                </c:pt>
                <c:pt idx="5">
                  <c:v>Zoe Brooks</c:v>
                </c:pt>
                <c:pt idx="6">
                  <c:v>Noah Rogers</c:v>
                </c:pt>
                <c:pt idx="7">
                  <c:v>Samuel Ortiz</c:v>
                </c:pt>
                <c:pt idx="8">
                  <c:v>Adalynn Bailey</c:v>
                </c:pt>
                <c:pt idx="9">
                  <c:v>Scarlett Morris</c:v>
                </c:pt>
                <c:pt idx="10">
                  <c:v>Victoria Adams</c:v>
                </c:pt>
                <c:pt idx="11">
                  <c:v>Joseph Ward</c:v>
                </c:pt>
                <c:pt idx="12">
                  <c:v>Caroline Ramirez</c:v>
                </c:pt>
                <c:pt idx="13">
                  <c:v>Isabella Cox</c:v>
                </c:pt>
                <c:pt idx="14">
                  <c:v>Daniel Campbell</c:v>
                </c:pt>
                <c:pt idx="15">
                  <c:v>Sienna Jackson</c:v>
                </c:pt>
                <c:pt idx="16">
                  <c:v>Harper Hernandez</c:v>
                </c:pt>
                <c:pt idx="17">
                  <c:v>Harper Russell</c:v>
                </c:pt>
              </c:strCache>
            </c:strRef>
          </c:cat>
          <c:val>
            <c:numRef>
              <c:f>'Bar Charts'!$I$4:$I$21</c:f>
              <c:numCache>
                <c:formatCode>General</c:formatCode>
                <c:ptCount val="18"/>
                <c:pt idx="0">
                  <c:v>520</c:v>
                </c:pt>
                <c:pt idx="1">
                  <c:v>588</c:v>
                </c:pt>
                <c:pt idx="2">
                  <c:v>633</c:v>
                </c:pt>
                <c:pt idx="3">
                  <c:v>634</c:v>
                </c:pt>
                <c:pt idx="4">
                  <c:v>566</c:v>
                </c:pt>
                <c:pt idx="5">
                  <c:v>508</c:v>
                </c:pt>
                <c:pt idx="6">
                  <c:v>614</c:v>
                </c:pt>
                <c:pt idx="7">
                  <c:v>583</c:v>
                </c:pt>
                <c:pt idx="8">
                  <c:v>584</c:v>
                </c:pt>
                <c:pt idx="9">
                  <c:v>588</c:v>
                </c:pt>
                <c:pt idx="10">
                  <c:v>688</c:v>
                </c:pt>
                <c:pt idx="11">
                  <c:v>571</c:v>
                </c:pt>
                <c:pt idx="12">
                  <c:v>581</c:v>
                </c:pt>
                <c:pt idx="13">
                  <c:v>610</c:v>
                </c:pt>
                <c:pt idx="14">
                  <c:v>531</c:v>
                </c:pt>
                <c:pt idx="15">
                  <c:v>591</c:v>
                </c:pt>
                <c:pt idx="16">
                  <c:v>507</c:v>
                </c:pt>
                <c:pt idx="17">
                  <c:v>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6F-C54A-ADB0-DB4336E9A2DC}"/>
            </c:ext>
          </c:extLst>
        </c:ser>
        <c:ser>
          <c:idx val="2"/>
          <c:order val="2"/>
          <c:tx>
            <c:strRef>
              <c:f>'Bar Charts'!$J$3</c:f>
              <c:strCache>
                <c:ptCount val="1"/>
                <c:pt idx="0">
                  <c:v>Stationary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Charts'!$G$4:$G$21</c:f>
              <c:strCache>
                <c:ptCount val="18"/>
                <c:pt idx="0">
                  <c:v>Scarlett Parker</c:v>
                </c:pt>
                <c:pt idx="1">
                  <c:v>Willa Garcia</c:v>
                </c:pt>
                <c:pt idx="2">
                  <c:v>Victoria Cruz</c:v>
                </c:pt>
                <c:pt idx="3">
                  <c:v>Samuel Allen</c:v>
                </c:pt>
                <c:pt idx="4">
                  <c:v>Noah Perry</c:v>
                </c:pt>
                <c:pt idx="5">
                  <c:v>Zoe Brooks</c:v>
                </c:pt>
                <c:pt idx="6">
                  <c:v>Noah Rogers</c:v>
                </c:pt>
                <c:pt idx="7">
                  <c:v>Samuel Ortiz</c:v>
                </c:pt>
                <c:pt idx="8">
                  <c:v>Adalynn Bailey</c:v>
                </c:pt>
                <c:pt idx="9">
                  <c:v>Scarlett Morris</c:v>
                </c:pt>
                <c:pt idx="10">
                  <c:v>Victoria Adams</c:v>
                </c:pt>
                <c:pt idx="11">
                  <c:v>Joseph Ward</c:v>
                </c:pt>
                <c:pt idx="12">
                  <c:v>Caroline Ramirez</c:v>
                </c:pt>
                <c:pt idx="13">
                  <c:v>Isabella Cox</c:v>
                </c:pt>
                <c:pt idx="14">
                  <c:v>Daniel Campbell</c:v>
                </c:pt>
                <c:pt idx="15">
                  <c:v>Sienna Jackson</c:v>
                </c:pt>
                <c:pt idx="16">
                  <c:v>Harper Hernandez</c:v>
                </c:pt>
                <c:pt idx="17">
                  <c:v>Harper Russell</c:v>
                </c:pt>
              </c:strCache>
            </c:strRef>
          </c:cat>
          <c:val>
            <c:numRef>
              <c:f>'Bar Charts'!$J$4:$J$21</c:f>
              <c:numCache>
                <c:formatCode>General</c:formatCode>
                <c:ptCount val="18"/>
                <c:pt idx="0">
                  <c:v>211</c:v>
                </c:pt>
                <c:pt idx="1">
                  <c:v>257</c:v>
                </c:pt>
                <c:pt idx="2">
                  <c:v>262</c:v>
                </c:pt>
                <c:pt idx="3">
                  <c:v>223</c:v>
                </c:pt>
                <c:pt idx="4">
                  <c:v>219</c:v>
                </c:pt>
                <c:pt idx="5">
                  <c:v>236</c:v>
                </c:pt>
                <c:pt idx="6">
                  <c:v>288</c:v>
                </c:pt>
                <c:pt idx="7">
                  <c:v>295</c:v>
                </c:pt>
                <c:pt idx="8">
                  <c:v>274</c:v>
                </c:pt>
                <c:pt idx="9">
                  <c:v>260</c:v>
                </c:pt>
                <c:pt idx="10">
                  <c:v>293</c:v>
                </c:pt>
                <c:pt idx="11">
                  <c:v>226</c:v>
                </c:pt>
                <c:pt idx="12">
                  <c:v>226</c:v>
                </c:pt>
                <c:pt idx="13">
                  <c:v>202</c:v>
                </c:pt>
                <c:pt idx="14">
                  <c:v>225</c:v>
                </c:pt>
                <c:pt idx="15">
                  <c:v>220</c:v>
                </c:pt>
                <c:pt idx="16">
                  <c:v>215</c:v>
                </c:pt>
                <c:pt idx="17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6F-C54A-ADB0-DB4336E9A2DC}"/>
            </c:ext>
          </c:extLst>
        </c:ser>
        <c:ser>
          <c:idx val="3"/>
          <c:order val="3"/>
          <c:tx>
            <c:strRef>
              <c:f>'Bar Charts'!$K$3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 Charts'!$G$4:$G$21</c:f>
              <c:strCache>
                <c:ptCount val="18"/>
                <c:pt idx="0">
                  <c:v>Scarlett Parker</c:v>
                </c:pt>
                <c:pt idx="1">
                  <c:v>Willa Garcia</c:v>
                </c:pt>
                <c:pt idx="2">
                  <c:v>Victoria Cruz</c:v>
                </c:pt>
                <c:pt idx="3">
                  <c:v>Samuel Allen</c:v>
                </c:pt>
                <c:pt idx="4">
                  <c:v>Noah Perry</c:v>
                </c:pt>
                <c:pt idx="5">
                  <c:v>Zoe Brooks</c:v>
                </c:pt>
                <c:pt idx="6">
                  <c:v>Noah Rogers</c:v>
                </c:pt>
                <c:pt idx="7">
                  <c:v>Samuel Ortiz</c:v>
                </c:pt>
                <c:pt idx="8">
                  <c:v>Adalynn Bailey</c:v>
                </c:pt>
                <c:pt idx="9">
                  <c:v>Scarlett Morris</c:v>
                </c:pt>
                <c:pt idx="10">
                  <c:v>Victoria Adams</c:v>
                </c:pt>
                <c:pt idx="11">
                  <c:v>Joseph Ward</c:v>
                </c:pt>
                <c:pt idx="12">
                  <c:v>Caroline Ramirez</c:v>
                </c:pt>
                <c:pt idx="13">
                  <c:v>Isabella Cox</c:v>
                </c:pt>
                <c:pt idx="14">
                  <c:v>Daniel Campbell</c:v>
                </c:pt>
                <c:pt idx="15">
                  <c:v>Sienna Jackson</c:v>
                </c:pt>
                <c:pt idx="16">
                  <c:v>Harper Hernandez</c:v>
                </c:pt>
                <c:pt idx="17">
                  <c:v>Harper Russell</c:v>
                </c:pt>
              </c:strCache>
            </c:strRef>
          </c:cat>
          <c:val>
            <c:numRef>
              <c:f>'Bar Charts'!$K$4:$K$21</c:f>
              <c:numCache>
                <c:formatCode>General</c:formatCode>
                <c:ptCount val="18"/>
                <c:pt idx="0">
                  <c:v>1777</c:v>
                </c:pt>
                <c:pt idx="1">
                  <c:v>1952</c:v>
                </c:pt>
                <c:pt idx="2">
                  <c:v>2082</c:v>
                </c:pt>
                <c:pt idx="3">
                  <c:v>1863</c:v>
                </c:pt>
                <c:pt idx="4">
                  <c:v>1963</c:v>
                </c:pt>
                <c:pt idx="5">
                  <c:v>1795</c:v>
                </c:pt>
                <c:pt idx="6">
                  <c:v>2073</c:v>
                </c:pt>
                <c:pt idx="7">
                  <c:v>1944</c:v>
                </c:pt>
                <c:pt idx="8">
                  <c:v>1922</c:v>
                </c:pt>
                <c:pt idx="9">
                  <c:v>1917</c:v>
                </c:pt>
                <c:pt idx="10">
                  <c:v>2005</c:v>
                </c:pt>
                <c:pt idx="11">
                  <c:v>1810</c:v>
                </c:pt>
                <c:pt idx="12">
                  <c:v>1830</c:v>
                </c:pt>
                <c:pt idx="13">
                  <c:v>1984</c:v>
                </c:pt>
                <c:pt idx="14">
                  <c:v>1791</c:v>
                </c:pt>
                <c:pt idx="15">
                  <c:v>1981</c:v>
                </c:pt>
                <c:pt idx="16">
                  <c:v>1877</c:v>
                </c:pt>
                <c:pt idx="17">
                  <c:v>1923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6F-C54A-ADB0-DB4336E9A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2206959"/>
        <c:axId val="1002406799"/>
      </c:barChart>
      <c:catAx>
        <c:axId val="100220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406799"/>
        <c:crosses val="autoZero"/>
        <c:auto val="1"/>
        <c:lblAlgn val="ctr"/>
        <c:lblOffset val="100"/>
        <c:noMultiLvlLbl val="0"/>
      </c:catAx>
      <c:valAx>
        <c:axId val="100240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20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'Bar Charts'!$H$3</c:f>
              <c:strCache>
                <c:ptCount val="1"/>
                <c:pt idx="0">
                  <c:v>Home Appliance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Charts'!$G$4:$G$21</c:f>
              <c:strCache>
                <c:ptCount val="18"/>
                <c:pt idx="0">
                  <c:v>Scarlett Parker</c:v>
                </c:pt>
                <c:pt idx="1">
                  <c:v>Willa Garcia</c:v>
                </c:pt>
                <c:pt idx="2">
                  <c:v>Victoria Cruz</c:v>
                </c:pt>
                <c:pt idx="3">
                  <c:v>Samuel Allen</c:v>
                </c:pt>
                <c:pt idx="4">
                  <c:v>Noah Perry</c:v>
                </c:pt>
                <c:pt idx="5">
                  <c:v>Zoe Brooks</c:v>
                </c:pt>
                <c:pt idx="6">
                  <c:v>Noah Rogers</c:v>
                </c:pt>
                <c:pt idx="7">
                  <c:v>Samuel Ortiz</c:v>
                </c:pt>
                <c:pt idx="8">
                  <c:v>Adalynn Bailey</c:v>
                </c:pt>
                <c:pt idx="9">
                  <c:v>Scarlett Morris</c:v>
                </c:pt>
                <c:pt idx="10">
                  <c:v>Victoria Adams</c:v>
                </c:pt>
                <c:pt idx="11">
                  <c:v>Joseph Ward</c:v>
                </c:pt>
                <c:pt idx="12">
                  <c:v>Caroline Ramirez</c:v>
                </c:pt>
                <c:pt idx="13">
                  <c:v>Isabella Cox</c:v>
                </c:pt>
                <c:pt idx="14">
                  <c:v>Daniel Campbell</c:v>
                </c:pt>
                <c:pt idx="15">
                  <c:v>Sienna Jackson</c:v>
                </c:pt>
                <c:pt idx="16">
                  <c:v>Harper Hernandez</c:v>
                </c:pt>
                <c:pt idx="17">
                  <c:v>Harper Russell</c:v>
                </c:pt>
              </c:strCache>
            </c:strRef>
          </c:cat>
          <c:val>
            <c:numRef>
              <c:f>'Bar Charts'!$H$4:$H$21</c:f>
              <c:numCache>
                <c:formatCode>General</c:formatCode>
                <c:ptCount val="18"/>
                <c:pt idx="0">
                  <c:v>1046</c:v>
                </c:pt>
                <c:pt idx="1">
                  <c:v>1107</c:v>
                </c:pt>
                <c:pt idx="2">
                  <c:v>1187</c:v>
                </c:pt>
                <c:pt idx="3">
                  <c:v>1006</c:v>
                </c:pt>
                <c:pt idx="4">
                  <c:v>1178</c:v>
                </c:pt>
                <c:pt idx="5">
                  <c:v>1051</c:v>
                </c:pt>
                <c:pt idx="6">
                  <c:v>1171</c:v>
                </c:pt>
                <c:pt idx="7">
                  <c:v>1066</c:v>
                </c:pt>
                <c:pt idx="8">
                  <c:v>1064</c:v>
                </c:pt>
                <c:pt idx="9">
                  <c:v>1069</c:v>
                </c:pt>
                <c:pt idx="10">
                  <c:v>1024</c:v>
                </c:pt>
                <c:pt idx="11">
                  <c:v>1013</c:v>
                </c:pt>
                <c:pt idx="12">
                  <c:v>1023</c:v>
                </c:pt>
                <c:pt idx="13">
                  <c:v>1172</c:v>
                </c:pt>
                <c:pt idx="14">
                  <c:v>1035</c:v>
                </c:pt>
                <c:pt idx="15">
                  <c:v>1170</c:v>
                </c:pt>
                <c:pt idx="16">
                  <c:v>1155</c:v>
                </c:pt>
                <c:pt idx="17">
                  <c:v>1021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9-DE4D-B26C-A64D9CC8E85B}"/>
            </c:ext>
          </c:extLst>
        </c:ser>
        <c:ser>
          <c:idx val="1"/>
          <c:order val="1"/>
          <c:tx>
            <c:strRef>
              <c:f>'Bar Charts'!$I$3</c:f>
              <c:strCache>
                <c:ptCount val="1"/>
                <c:pt idx="0">
                  <c:v>Home Decore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Charts'!$G$4:$G$21</c:f>
              <c:strCache>
                <c:ptCount val="18"/>
                <c:pt idx="0">
                  <c:v>Scarlett Parker</c:v>
                </c:pt>
                <c:pt idx="1">
                  <c:v>Willa Garcia</c:v>
                </c:pt>
                <c:pt idx="2">
                  <c:v>Victoria Cruz</c:v>
                </c:pt>
                <c:pt idx="3">
                  <c:v>Samuel Allen</c:v>
                </c:pt>
                <c:pt idx="4">
                  <c:v>Noah Perry</c:v>
                </c:pt>
                <c:pt idx="5">
                  <c:v>Zoe Brooks</c:v>
                </c:pt>
                <c:pt idx="6">
                  <c:v>Noah Rogers</c:v>
                </c:pt>
                <c:pt idx="7">
                  <c:v>Samuel Ortiz</c:v>
                </c:pt>
                <c:pt idx="8">
                  <c:v>Adalynn Bailey</c:v>
                </c:pt>
                <c:pt idx="9">
                  <c:v>Scarlett Morris</c:v>
                </c:pt>
                <c:pt idx="10">
                  <c:v>Victoria Adams</c:v>
                </c:pt>
                <c:pt idx="11">
                  <c:v>Joseph Ward</c:v>
                </c:pt>
                <c:pt idx="12">
                  <c:v>Caroline Ramirez</c:v>
                </c:pt>
                <c:pt idx="13">
                  <c:v>Isabella Cox</c:v>
                </c:pt>
                <c:pt idx="14">
                  <c:v>Daniel Campbell</c:v>
                </c:pt>
                <c:pt idx="15">
                  <c:v>Sienna Jackson</c:v>
                </c:pt>
                <c:pt idx="16">
                  <c:v>Harper Hernandez</c:v>
                </c:pt>
                <c:pt idx="17">
                  <c:v>Harper Russell</c:v>
                </c:pt>
              </c:strCache>
            </c:strRef>
          </c:cat>
          <c:val>
            <c:numRef>
              <c:f>'Bar Charts'!$I$4:$I$21</c:f>
              <c:numCache>
                <c:formatCode>General</c:formatCode>
                <c:ptCount val="18"/>
                <c:pt idx="0">
                  <c:v>520</c:v>
                </c:pt>
                <c:pt idx="1">
                  <c:v>588</c:v>
                </c:pt>
                <c:pt idx="2">
                  <c:v>633</c:v>
                </c:pt>
                <c:pt idx="3">
                  <c:v>634</c:v>
                </c:pt>
                <c:pt idx="4">
                  <c:v>566</c:v>
                </c:pt>
                <c:pt idx="5">
                  <c:v>508</c:v>
                </c:pt>
                <c:pt idx="6">
                  <c:v>614</c:v>
                </c:pt>
                <c:pt idx="7">
                  <c:v>583</c:v>
                </c:pt>
                <c:pt idx="8">
                  <c:v>584</c:v>
                </c:pt>
                <c:pt idx="9">
                  <c:v>588</c:v>
                </c:pt>
                <c:pt idx="10">
                  <c:v>688</c:v>
                </c:pt>
                <c:pt idx="11">
                  <c:v>571</c:v>
                </c:pt>
                <c:pt idx="12">
                  <c:v>581</c:v>
                </c:pt>
                <c:pt idx="13">
                  <c:v>610</c:v>
                </c:pt>
                <c:pt idx="14">
                  <c:v>531</c:v>
                </c:pt>
                <c:pt idx="15">
                  <c:v>591</c:v>
                </c:pt>
                <c:pt idx="16">
                  <c:v>507</c:v>
                </c:pt>
                <c:pt idx="17">
                  <c:v>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39-DE4D-B26C-A64D9CC8E85B}"/>
            </c:ext>
          </c:extLst>
        </c:ser>
        <c:ser>
          <c:idx val="2"/>
          <c:order val="2"/>
          <c:tx>
            <c:strRef>
              <c:f>'Bar Charts'!$J$3</c:f>
              <c:strCache>
                <c:ptCount val="1"/>
                <c:pt idx="0">
                  <c:v>Stationary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Charts'!$G$4:$G$21</c:f>
              <c:strCache>
                <c:ptCount val="18"/>
                <c:pt idx="0">
                  <c:v>Scarlett Parker</c:v>
                </c:pt>
                <c:pt idx="1">
                  <c:v>Willa Garcia</c:v>
                </c:pt>
                <c:pt idx="2">
                  <c:v>Victoria Cruz</c:v>
                </c:pt>
                <c:pt idx="3">
                  <c:v>Samuel Allen</c:v>
                </c:pt>
                <c:pt idx="4">
                  <c:v>Noah Perry</c:v>
                </c:pt>
                <c:pt idx="5">
                  <c:v>Zoe Brooks</c:v>
                </c:pt>
                <c:pt idx="6">
                  <c:v>Noah Rogers</c:v>
                </c:pt>
                <c:pt idx="7">
                  <c:v>Samuel Ortiz</c:v>
                </c:pt>
                <c:pt idx="8">
                  <c:v>Adalynn Bailey</c:v>
                </c:pt>
                <c:pt idx="9">
                  <c:v>Scarlett Morris</c:v>
                </c:pt>
                <c:pt idx="10">
                  <c:v>Victoria Adams</c:v>
                </c:pt>
                <c:pt idx="11">
                  <c:v>Joseph Ward</c:v>
                </c:pt>
                <c:pt idx="12">
                  <c:v>Caroline Ramirez</c:v>
                </c:pt>
                <c:pt idx="13">
                  <c:v>Isabella Cox</c:v>
                </c:pt>
                <c:pt idx="14">
                  <c:v>Daniel Campbell</c:v>
                </c:pt>
                <c:pt idx="15">
                  <c:v>Sienna Jackson</c:v>
                </c:pt>
                <c:pt idx="16">
                  <c:v>Harper Hernandez</c:v>
                </c:pt>
                <c:pt idx="17">
                  <c:v>Harper Russell</c:v>
                </c:pt>
              </c:strCache>
            </c:strRef>
          </c:cat>
          <c:val>
            <c:numRef>
              <c:f>'Bar Charts'!$J$4:$J$21</c:f>
              <c:numCache>
                <c:formatCode>General</c:formatCode>
                <c:ptCount val="18"/>
                <c:pt idx="0">
                  <c:v>211</c:v>
                </c:pt>
                <c:pt idx="1">
                  <c:v>257</c:v>
                </c:pt>
                <c:pt idx="2">
                  <c:v>262</c:v>
                </c:pt>
                <c:pt idx="3">
                  <c:v>223</c:v>
                </c:pt>
                <c:pt idx="4">
                  <c:v>219</c:v>
                </c:pt>
                <c:pt idx="5">
                  <c:v>236</c:v>
                </c:pt>
                <c:pt idx="6">
                  <c:v>288</c:v>
                </c:pt>
                <c:pt idx="7">
                  <c:v>295</c:v>
                </c:pt>
                <c:pt idx="8">
                  <c:v>274</c:v>
                </c:pt>
                <c:pt idx="9">
                  <c:v>260</c:v>
                </c:pt>
                <c:pt idx="10">
                  <c:v>293</c:v>
                </c:pt>
                <c:pt idx="11">
                  <c:v>226</c:v>
                </c:pt>
                <c:pt idx="12">
                  <c:v>226</c:v>
                </c:pt>
                <c:pt idx="13">
                  <c:v>202</c:v>
                </c:pt>
                <c:pt idx="14">
                  <c:v>225</c:v>
                </c:pt>
                <c:pt idx="15">
                  <c:v>220</c:v>
                </c:pt>
                <c:pt idx="16">
                  <c:v>215</c:v>
                </c:pt>
                <c:pt idx="17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39-DE4D-B26C-A64D9CC8E85B}"/>
            </c:ext>
          </c:extLst>
        </c:ser>
        <c:ser>
          <c:idx val="3"/>
          <c:order val="3"/>
          <c:tx>
            <c:strRef>
              <c:f>'Bar Charts'!$K$3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 Charts'!$G$4:$G$21</c:f>
              <c:strCache>
                <c:ptCount val="18"/>
                <c:pt idx="0">
                  <c:v>Scarlett Parker</c:v>
                </c:pt>
                <c:pt idx="1">
                  <c:v>Willa Garcia</c:v>
                </c:pt>
                <c:pt idx="2">
                  <c:v>Victoria Cruz</c:v>
                </c:pt>
                <c:pt idx="3">
                  <c:v>Samuel Allen</c:v>
                </c:pt>
                <c:pt idx="4">
                  <c:v>Noah Perry</c:v>
                </c:pt>
                <c:pt idx="5">
                  <c:v>Zoe Brooks</c:v>
                </c:pt>
                <c:pt idx="6">
                  <c:v>Noah Rogers</c:v>
                </c:pt>
                <c:pt idx="7">
                  <c:v>Samuel Ortiz</c:v>
                </c:pt>
                <c:pt idx="8">
                  <c:v>Adalynn Bailey</c:v>
                </c:pt>
                <c:pt idx="9">
                  <c:v>Scarlett Morris</c:v>
                </c:pt>
                <c:pt idx="10">
                  <c:v>Victoria Adams</c:v>
                </c:pt>
                <c:pt idx="11">
                  <c:v>Joseph Ward</c:v>
                </c:pt>
                <c:pt idx="12">
                  <c:v>Caroline Ramirez</c:v>
                </c:pt>
                <c:pt idx="13">
                  <c:v>Isabella Cox</c:v>
                </c:pt>
                <c:pt idx="14">
                  <c:v>Daniel Campbell</c:v>
                </c:pt>
                <c:pt idx="15">
                  <c:v>Sienna Jackson</c:v>
                </c:pt>
                <c:pt idx="16">
                  <c:v>Harper Hernandez</c:v>
                </c:pt>
                <c:pt idx="17">
                  <c:v>Harper Russell</c:v>
                </c:pt>
              </c:strCache>
            </c:strRef>
          </c:cat>
          <c:val>
            <c:numRef>
              <c:f>'Bar Charts'!$K$4:$K$21</c:f>
              <c:numCache>
                <c:formatCode>General</c:formatCode>
                <c:ptCount val="18"/>
                <c:pt idx="0">
                  <c:v>1777</c:v>
                </c:pt>
                <c:pt idx="1">
                  <c:v>1952</c:v>
                </c:pt>
                <c:pt idx="2">
                  <c:v>2082</c:v>
                </c:pt>
                <c:pt idx="3">
                  <c:v>1863</c:v>
                </c:pt>
                <c:pt idx="4">
                  <c:v>1963</c:v>
                </c:pt>
                <c:pt idx="5">
                  <c:v>1795</c:v>
                </c:pt>
                <c:pt idx="6">
                  <c:v>2073</c:v>
                </c:pt>
                <c:pt idx="7">
                  <c:v>1944</c:v>
                </c:pt>
                <c:pt idx="8">
                  <c:v>1922</c:v>
                </c:pt>
                <c:pt idx="9">
                  <c:v>1917</c:v>
                </c:pt>
                <c:pt idx="10">
                  <c:v>2005</c:v>
                </c:pt>
                <c:pt idx="11">
                  <c:v>1810</c:v>
                </c:pt>
                <c:pt idx="12">
                  <c:v>1830</c:v>
                </c:pt>
                <c:pt idx="13">
                  <c:v>1984</c:v>
                </c:pt>
                <c:pt idx="14">
                  <c:v>1791</c:v>
                </c:pt>
                <c:pt idx="15">
                  <c:v>1981</c:v>
                </c:pt>
                <c:pt idx="16">
                  <c:v>1877</c:v>
                </c:pt>
                <c:pt idx="17">
                  <c:v>1923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39-DE4D-B26C-A64D9CC8E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2206959"/>
        <c:axId val="1002406799"/>
      </c:barChart>
      <c:catAx>
        <c:axId val="100220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406799"/>
        <c:crosses val="autoZero"/>
        <c:auto val="1"/>
        <c:lblAlgn val="ctr"/>
        <c:lblOffset val="100"/>
        <c:noMultiLvlLbl val="0"/>
      </c:catAx>
      <c:valAx>
        <c:axId val="100240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20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'Bar Charts'!$O$3</c:f>
              <c:strCache>
                <c:ptCount val="1"/>
                <c:pt idx="0">
                  <c:v>Visitors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Charts'!$N$4:$N$15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Charts'!$O$4:$O$15</c:f>
              <c:numCache>
                <c:formatCode>_(* #,##0_);_(* \(#,##0\);_(* "-"??_);_(@_)</c:formatCode>
                <c:ptCount val="12"/>
                <c:pt idx="0">
                  <c:v>806</c:v>
                </c:pt>
                <c:pt idx="1">
                  <c:v>749</c:v>
                </c:pt>
                <c:pt idx="2">
                  <c:v>734</c:v>
                </c:pt>
                <c:pt idx="3">
                  <c:v>683</c:v>
                </c:pt>
                <c:pt idx="4">
                  <c:v>614</c:v>
                </c:pt>
                <c:pt idx="5">
                  <c:v>620</c:v>
                </c:pt>
                <c:pt idx="6">
                  <c:v>652</c:v>
                </c:pt>
                <c:pt idx="7">
                  <c:v>671</c:v>
                </c:pt>
                <c:pt idx="8">
                  <c:v>705</c:v>
                </c:pt>
                <c:pt idx="9">
                  <c:v>712</c:v>
                </c:pt>
                <c:pt idx="10">
                  <c:v>690</c:v>
                </c:pt>
                <c:pt idx="11">
                  <c:v>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B-CD4B-BB1D-3E5F6A984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83844592"/>
        <c:axId val="467132160"/>
      </c:barChart>
      <c:catAx>
        <c:axId val="8838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32160"/>
        <c:crosses val="autoZero"/>
        <c:auto val="1"/>
        <c:lblAlgn val="ctr"/>
        <c:lblOffset val="100"/>
        <c:noMultiLvlLbl val="0"/>
      </c:catAx>
      <c:valAx>
        <c:axId val="46713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84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'Bar Charts'!$S$3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Charts'!$R$4:$R$15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Charts'!$S$4:$S$15</c:f>
              <c:numCache>
                <c:formatCode>General</c:formatCode>
                <c:ptCount val="12"/>
                <c:pt idx="0">
                  <c:v>10943</c:v>
                </c:pt>
                <c:pt idx="1">
                  <c:v>11552</c:v>
                </c:pt>
                <c:pt idx="2">
                  <c:v>8953</c:v>
                </c:pt>
                <c:pt idx="3">
                  <c:v>9450</c:v>
                </c:pt>
                <c:pt idx="4">
                  <c:v>9158</c:v>
                </c:pt>
                <c:pt idx="5">
                  <c:v>8197</c:v>
                </c:pt>
                <c:pt idx="6">
                  <c:v>10925</c:v>
                </c:pt>
                <c:pt idx="7">
                  <c:v>11527</c:v>
                </c:pt>
                <c:pt idx="8">
                  <c:v>9164</c:v>
                </c:pt>
                <c:pt idx="9">
                  <c:v>9389</c:v>
                </c:pt>
                <c:pt idx="10">
                  <c:v>11263</c:v>
                </c:pt>
                <c:pt idx="11">
                  <c:v>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C0-C540-B30D-872D42EE322F}"/>
            </c:ext>
          </c:extLst>
        </c:ser>
        <c:ser>
          <c:idx val="1"/>
          <c:order val="1"/>
          <c:tx>
            <c:strRef>
              <c:f>'Bar Charts'!$T$3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Charts'!$R$4:$R$15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Charts'!$T$4:$T$15</c:f>
              <c:numCache>
                <c:formatCode>General</c:formatCode>
                <c:ptCount val="12"/>
                <c:pt idx="0">
                  <c:v>2161</c:v>
                </c:pt>
                <c:pt idx="1">
                  <c:v>2331</c:v>
                </c:pt>
                <c:pt idx="2">
                  <c:v>2048</c:v>
                </c:pt>
                <c:pt idx="3">
                  <c:v>2239</c:v>
                </c:pt>
                <c:pt idx="4">
                  <c:v>2821</c:v>
                </c:pt>
                <c:pt idx="5">
                  <c:v>2337</c:v>
                </c:pt>
                <c:pt idx="6">
                  <c:v>2066</c:v>
                </c:pt>
                <c:pt idx="7">
                  <c:v>2721</c:v>
                </c:pt>
                <c:pt idx="8">
                  <c:v>2424</c:v>
                </c:pt>
                <c:pt idx="9">
                  <c:v>2225</c:v>
                </c:pt>
                <c:pt idx="10">
                  <c:v>2087</c:v>
                </c:pt>
                <c:pt idx="11">
                  <c:v>2162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C0-C540-B30D-872D42EE322F}"/>
            </c:ext>
          </c:extLst>
        </c:ser>
        <c:ser>
          <c:idx val="2"/>
          <c:order val="2"/>
          <c:tx>
            <c:strRef>
              <c:f>'Bar Charts'!$U$3</c:f>
              <c:strCache>
                <c:ptCount val="1"/>
                <c:pt idx="0">
                  <c:v>Travel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Charts'!$R$4:$R$15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Charts'!$U$4:$U$15</c:f>
              <c:numCache>
                <c:formatCode>General</c:formatCode>
                <c:ptCount val="12"/>
                <c:pt idx="0">
                  <c:v>7633</c:v>
                </c:pt>
                <c:pt idx="1">
                  <c:v>7530</c:v>
                </c:pt>
                <c:pt idx="2">
                  <c:v>12498</c:v>
                </c:pt>
                <c:pt idx="3">
                  <c:v>6055</c:v>
                </c:pt>
                <c:pt idx="4">
                  <c:v>6702</c:v>
                </c:pt>
                <c:pt idx="5">
                  <c:v>7774</c:v>
                </c:pt>
                <c:pt idx="6">
                  <c:v>6000</c:v>
                </c:pt>
                <c:pt idx="7">
                  <c:v>6362</c:v>
                </c:pt>
                <c:pt idx="8">
                  <c:v>7173</c:v>
                </c:pt>
                <c:pt idx="9">
                  <c:v>17286</c:v>
                </c:pt>
                <c:pt idx="10">
                  <c:v>6388</c:v>
                </c:pt>
                <c:pt idx="11">
                  <c:v>16524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C0-C540-B30D-872D42EE322F}"/>
            </c:ext>
          </c:extLst>
        </c:ser>
        <c:ser>
          <c:idx val="3"/>
          <c:order val="3"/>
          <c:tx>
            <c:strRef>
              <c:f>'Bar Charts'!$V$3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 Charts'!$R$4:$R$15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Charts'!$V$4:$V$15</c:f>
              <c:numCache>
                <c:formatCode>General</c:formatCode>
                <c:ptCount val="12"/>
                <c:pt idx="0">
                  <c:v>21032</c:v>
                </c:pt>
                <c:pt idx="1">
                  <c:v>21032</c:v>
                </c:pt>
                <c:pt idx="2">
                  <c:v>21032</c:v>
                </c:pt>
                <c:pt idx="3">
                  <c:v>21032</c:v>
                </c:pt>
                <c:pt idx="4">
                  <c:v>21032</c:v>
                </c:pt>
                <c:pt idx="5">
                  <c:v>21032</c:v>
                </c:pt>
                <c:pt idx="6">
                  <c:v>21032</c:v>
                </c:pt>
                <c:pt idx="7">
                  <c:v>21032</c:v>
                </c:pt>
                <c:pt idx="8">
                  <c:v>21032</c:v>
                </c:pt>
                <c:pt idx="9">
                  <c:v>21032</c:v>
                </c:pt>
                <c:pt idx="10">
                  <c:v>21032</c:v>
                </c:pt>
                <c:pt idx="11">
                  <c:v>21032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C0-C540-B30D-872D42EE3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9315664"/>
        <c:axId val="659047296"/>
      </c:barChart>
      <c:catAx>
        <c:axId val="65931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047296"/>
        <c:crosses val="autoZero"/>
        <c:auto val="1"/>
        <c:lblAlgn val="ctr"/>
        <c:lblOffset val="100"/>
        <c:noMultiLvlLbl val="0"/>
      </c:catAx>
      <c:valAx>
        <c:axId val="65904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31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Category Wise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'Bar Charts'!$Z$3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Charts'!$Y$4:$Y$15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Charts'!$Z$4:$Z$15</c:f>
              <c:numCache>
                <c:formatCode>General</c:formatCode>
                <c:ptCount val="12"/>
                <c:pt idx="0">
                  <c:v>1818</c:v>
                </c:pt>
                <c:pt idx="1">
                  <c:v>1013</c:v>
                </c:pt>
                <c:pt idx="2">
                  <c:v>1229</c:v>
                </c:pt>
                <c:pt idx="3">
                  <c:v>1700</c:v>
                </c:pt>
                <c:pt idx="4">
                  <c:v>1228</c:v>
                </c:pt>
                <c:pt idx="5">
                  <c:v>1747</c:v>
                </c:pt>
                <c:pt idx="6">
                  <c:v>1624</c:v>
                </c:pt>
                <c:pt idx="7">
                  <c:v>1435</c:v>
                </c:pt>
                <c:pt idx="8">
                  <c:v>1268</c:v>
                </c:pt>
                <c:pt idx="9">
                  <c:v>1197</c:v>
                </c:pt>
                <c:pt idx="10">
                  <c:v>1376</c:v>
                </c:pt>
                <c:pt idx="11">
                  <c:v>1368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2D-4B42-A2AB-5DD13F8DBD8C}"/>
            </c:ext>
          </c:extLst>
        </c:ser>
        <c:ser>
          <c:idx val="1"/>
          <c:order val="1"/>
          <c:tx>
            <c:strRef>
              <c:f>'Bar Charts'!$AA$3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Charts'!$Y$4:$Y$15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Charts'!$AA$4:$AA$15</c:f>
              <c:numCache>
                <c:formatCode>General</c:formatCode>
                <c:ptCount val="12"/>
                <c:pt idx="0">
                  <c:v>724</c:v>
                </c:pt>
                <c:pt idx="1">
                  <c:v>522</c:v>
                </c:pt>
                <c:pt idx="2">
                  <c:v>632</c:v>
                </c:pt>
                <c:pt idx="3">
                  <c:v>768</c:v>
                </c:pt>
                <c:pt idx="4">
                  <c:v>768</c:v>
                </c:pt>
                <c:pt idx="5">
                  <c:v>785</c:v>
                </c:pt>
                <c:pt idx="6">
                  <c:v>801</c:v>
                </c:pt>
                <c:pt idx="7">
                  <c:v>771</c:v>
                </c:pt>
                <c:pt idx="8">
                  <c:v>874</c:v>
                </c:pt>
                <c:pt idx="9">
                  <c:v>554</c:v>
                </c:pt>
                <c:pt idx="10">
                  <c:v>621</c:v>
                </c:pt>
                <c:pt idx="11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2D-4B42-A2AB-5DD13F8DBD8C}"/>
            </c:ext>
          </c:extLst>
        </c:ser>
        <c:ser>
          <c:idx val="2"/>
          <c:order val="2"/>
          <c:tx>
            <c:strRef>
              <c:f>'Bar Charts'!$AB$3</c:f>
              <c:strCache>
                <c:ptCount val="1"/>
                <c:pt idx="0">
                  <c:v>Laptops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Charts'!$Y$4:$Y$15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Charts'!$AB$4:$AB$15</c:f>
              <c:numCache>
                <c:formatCode>General</c:formatCode>
                <c:ptCount val="12"/>
                <c:pt idx="0">
                  <c:v>429</c:v>
                </c:pt>
                <c:pt idx="1">
                  <c:v>389</c:v>
                </c:pt>
                <c:pt idx="2">
                  <c:v>456</c:v>
                </c:pt>
                <c:pt idx="3">
                  <c:v>245</c:v>
                </c:pt>
                <c:pt idx="4">
                  <c:v>447</c:v>
                </c:pt>
                <c:pt idx="5">
                  <c:v>375</c:v>
                </c:pt>
                <c:pt idx="6">
                  <c:v>203</c:v>
                </c:pt>
                <c:pt idx="7">
                  <c:v>397</c:v>
                </c:pt>
                <c:pt idx="8">
                  <c:v>222</c:v>
                </c:pt>
                <c:pt idx="9">
                  <c:v>473</c:v>
                </c:pt>
                <c:pt idx="10">
                  <c:v>391</c:v>
                </c:pt>
                <c:pt idx="11">
                  <c:v>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2D-4B42-A2AB-5DD13F8DBD8C}"/>
            </c:ext>
          </c:extLst>
        </c:ser>
        <c:ser>
          <c:idx val="3"/>
          <c:order val="3"/>
          <c:tx>
            <c:strRef>
              <c:f>'Bar Charts'!$AC$3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 Charts'!$Y$4:$Y$15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Charts'!$AC$4:$AC$15</c:f>
              <c:numCache>
                <c:formatCode>General</c:formatCode>
                <c:ptCount val="12"/>
                <c:pt idx="0">
                  <c:v>2967</c:v>
                </c:pt>
                <c:pt idx="1">
                  <c:v>2035</c:v>
                </c:pt>
                <c:pt idx="2">
                  <c:v>2516</c:v>
                </c:pt>
                <c:pt idx="3">
                  <c:v>2843</c:v>
                </c:pt>
                <c:pt idx="4">
                  <c:v>2971</c:v>
                </c:pt>
                <c:pt idx="5">
                  <c:v>2766</c:v>
                </c:pt>
                <c:pt idx="6">
                  <c:v>2803</c:v>
                </c:pt>
                <c:pt idx="7">
                  <c:v>2106</c:v>
                </c:pt>
                <c:pt idx="8">
                  <c:v>2249</c:v>
                </c:pt>
                <c:pt idx="9">
                  <c:v>2056</c:v>
                </c:pt>
                <c:pt idx="10">
                  <c:v>2022</c:v>
                </c:pt>
                <c:pt idx="11">
                  <c:v>2672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2D-4B42-A2AB-5DD13F8DB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296415"/>
        <c:axId val="883767920"/>
      </c:barChart>
      <c:catAx>
        <c:axId val="14329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767920"/>
        <c:crosses val="autoZero"/>
        <c:auto val="1"/>
        <c:lblAlgn val="ctr"/>
        <c:lblOffset val="100"/>
        <c:noMultiLvlLbl val="0"/>
      </c:catAx>
      <c:valAx>
        <c:axId val="8837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9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Category Wise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6F-2D46-8CE3-82A8E9C6E2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6F-2D46-8CE3-82A8E9C6E2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36F-2D46-8CE3-82A8E9C6E2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36F-2D46-8CE3-82A8E9C6E26E}"/>
              </c:ext>
            </c:extLst>
          </c:dPt>
          <c:cat>
            <c:strRef>
              <c:f>'Pie Chart'!$C$4:$F$4</c:f>
              <c:strCache>
                <c:ptCount val="4"/>
                <c:pt idx="0">
                  <c:v>Clothing</c:v>
                </c:pt>
                <c:pt idx="1">
                  <c:v>Mobile</c:v>
                </c:pt>
                <c:pt idx="2">
                  <c:v>Laptops</c:v>
                </c:pt>
                <c:pt idx="3">
                  <c:v>Books</c:v>
                </c:pt>
              </c:strCache>
            </c:strRef>
          </c:cat>
          <c:val>
            <c:numRef>
              <c:f>'Pie Chart'!$C$5:$F$5</c:f>
              <c:numCache>
                <c:formatCode>General</c:formatCode>
                <c:ptCount val="4"/>
                <c:pt idx="0">
                  <c:v>17003</c:v>
                </c:pt>
                <c:pt idx="1">
                  <c:v>8520</c:v>
                </c:pt>
                <c:pt idx="2">
                  <c:v>4388</c:v>
                </c:pt>
                <c:pt idx="3">
                  <c:v>30006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36F-2D46-8CE3-82A8E9C6E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6944444444444443E-2"/>
          <c:y val="9.0277777777777762E-2"/>
          <c:w val="0.81388888888888888"/>
          <c:h val="0.7731481481481481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38-0445-9CE9-B94E349060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38-0445-9CE9-B94E349060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38-0445-9CE9-B94E349060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38-0445-9CE9-B94E349060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Chart'!$C$10:$F$10</c:f>
              <c:strCache>
                <c:ptCount val="4"/>
                <c:pt idx="0">
                  <c:v>Food</c:v>
                </c:pt>
                <c:pt idx="1">
                  <c:v>Entertainment</c:v>
                </c:pt>
                <c:pt idx="2">
                  <c:v>Travel</c:v>
                </c:pt>
                <c:pt idx="3">
                  <c:v>Rent</c:v>
                </c:pt>
              </c:strCache>
            </c:strRef>
          </c:cat>
          <c:val>
            <c:numRef>
              <c:f>'Pie Chart'!$C$11:$F$11</c:f>
              <c:numCache>
                <c:formatCode>General</c:formatCode>
                <c:ptCount val="4"/>
                <c:pt idx="0">
                  <c:v>119407</c:v>
                </c:pt>
                <c:pt idx="1">
                  <c:v>27622</c:v>
                </c:pt>
                <c:pt idx="2">
                  <c:v>107925</c:v>
                </c:pt>
                <c:pt idx="3">
                  <c:v>252384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38-0445-9CE9-B94E34906035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2019 Loksabha Elections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43-B643-BF26-ED9B8D546F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43-B643-BF26-ED9B8D546F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43-B643-BF26-ED9B8D546F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043-B643-BF26-ED9B8D546F3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043-B643-BF26-ED9B8D546F3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043-B643-BF26-ED9B8D546F3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043-B643-BF26-ED9B8D546F3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043-B643-BF26-ED9B8D546F3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043-B643-BF26-ED9B8D546F3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043-B643-BF26-ED9B8D546F3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043-B643-BF26-ED9B8D546F3F}"/>
              </c:ext>
            </c:extLst>
          </c:dPt>
          <c:cat>
            <c:strRef>
              <c:f>'Pie Chart'!$C$17:$C$27</c:f>
              <c:strCache>
                <c:ptCount val="11"/>
                <c:pt idx="0">
                  <c:v>Bharatiya Janata Party</c:v>
                </c:pt>
                <c:pt idx="1">
                  <c:v>Indian National Congress</c:v>
                </c:pt>
                <c:pt idx="2">
                  <c:v>Trinamool Congress</c:v>
                </c:pt>
                <c:pt idx="3">
                  <c:v>Bahujan Samaj Party</c:v>
                </c:pt>
                <c:pt idx="4">
                  <c:v>Samajwadi Party</c:v>
                </c:pt>
                <c:pt idx="5">
                  <c:v>YSR Congress Party</c:v>
                </c:pt>
                <c:pt idx="6">
                  <c:v>Dravida Munnetra Kazhagam</c:v>
                </c:pt>
                <c:pt idx="7">
                  <c:v>Shiv Sena</c:v>
                </c:pt>
                <c:pt idx="8">
                  <c:v>Telugu Desam Party</c:v>
                </c:pt>
                <c:pt idx="9">
                  <c:v>Communist Party of India (Marxist)</c:v>
                </c:pt>
                <c:pt idx="10">
                  <c:v>Others</c:v>
                </c:pt>
              </c:strCache>
            </c:strRef>
          </c:cat>
          <c:val>
            <c:numRef>
              <c:f>'Pie Chart'!$D$17:$D$27</c:f>
              <c:numCache>
                <c:formatCode>General</c:formatCode>
                <c:ptCount val="11"/>
                <c:pt idx="0">
                  <c:v>229076879</c:v>
                </c:pt>
                <c:pt idx="1">
                  <c:v>119495214</c:v>
                </c:pt>
                <c:pt idx="2">
                  <c:v>24929330</c:v>
                </c:pt>
                <c:pt idx="3">
                  <c:v>22246501</c:v>
                </c:pt>
                <c:pt idx="4">
                  <c:v>15647206</c:v>
                </c:pt>
                <c:pt idx="5">
                  <c:v>15537006</c:v>
                </c:pt>
                <c:pt idx="6">
                  <c:v>14363332</c:v>
                </c:pt>
                <c:pt idx="7">
                  <c:v>12858904</c:v>
                </c:pt>
                <c:pt idx="8">
                  <c:v>12515345</c:v>
                </c:pt>
                <c:pt idx="9">
                  <c:v>10744908</c:v>
                </c:pt>
                <c:pt idx="10">
                  <c:v>136758198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043-B643-BF26-ED9B8D546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Chart'!$D$32</c:f>
              <c:strCache>
                <c:ptCount val="1"/>
                <c:pt idx="0">
                  <c:v>Spend (euros)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97-7B4D-8EA7-747653A039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97-7B4D-8EA7-747653A039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97-7B4D-8EA7-747653A039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Chart'!$C$33:$C$35</c:f>
              <c:strCache>
                <c:ptCount val="3"/>
                <c:pt idx="0">
                  <c:v>Fine Dine</c:v>
                </c:pt>
                <c:pt idx="1">
                  <c:v>Self Cooking</c:v>
                </c:pt>
                <c:pt idx="2">
                  <c:v>Online order</c:v>
                </c:pt>
              </c:strCache>
            </c:strRef>
          </c:cat>
          <c:val>
            <c:numRef>
              <c:f>'Pie Chart'!$D$33:$D$35</c:f>
              <c:numCache>
                <c:formatCode>General</c:formatCode>
                <c:ptCount val="3"/>
                <c:pt idx="0">
                  <c:v>124</c:v>
                </c:pt>
                <c:pt idx="1">
                  <c:v>520</c:v>
                </c:pt>
                <c:pt idx="2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97-7B4D-8EA7-747653A0395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 and Combo Chart'!$C$3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50800" cap="rnd">
                <a:solidFill>
                  <a:schemeClr val="accent2">
                    <a:lumMod val="75000"/>
                  </a:schemeClr>
                </a:solidFill>
                <a:prstDash val="sysDot"/>
              </a:ln>
              <a:effectLst/>
            </c:spPr>
            <c:trendlineType val="movingAvg"/>
            <c:period val="7"/>
            <c:dispRSqr val="0"/>
            <c:dispEq val="0"/>
          </c:trendline>
          <c:cat>
            <c:numRef>
              <c:f>'Line Chart and Combo Chart'!$B$4:$B$44</c:f>
              <c:numCache>
                <c:formatCode>m/d/yyyy</c:formatCode>
                <c:ptCount val="41"/>
                <c:pt idx="0">
                  <c:v>43101</c:v>
                </c:pt>
                <c:pt idx="1">
                  <c:v>43102</c:v>
                </c:pt>
                <c:pt idx="2">
                  <c:v>43103</c:v>
                </c:pt>
                <c:pt idx="3">
                  <c:v>43104</c:v>
                </c:pt>
                <c:pt idx="4">
                  <c:v>43105</c:v>
                </c:pt>
                <c:pt idx="5">
                  <c:v>43106</c:v>
                </c:pt>
                <c:pt idx="6">
                  <c:v>43107</c:v>
                </c:pt>
                <c:pt idx="7">
                  <c:v>43108</c:v>
                </c:pt>
                <c:pt idx="8">
                  <c:v>43109</c:v>
                </c:pt>
                <c:pt idx="9">
                  <c:v>43110</c:v>
                </c:pt>
                <c:pt idx="10">
                  <c:v>43111</c:v>
                </c:pt>
                <c:pt idx="11">
                  <c:v>43112</c:v>
                </c:pt>
                <c:pt idx="12">
                  <c:v>43113</c:v>
                </c:pt>
                <c:pt idx="13">
                  <c:v>43114</c:v>
                </c:pt>
                <c:pt idx="14">
                  <c:v>43115</c:v>
                </c:pt>
                <c:pt idx="15">
                  <c:v>43116</c:v>
                </c:pt>
                <c:pt idx="16">
                  <c:v>43117</c:v>
                </c:pt>
                <c:pt idx="17">
                  <c:v>43118</c:v>
                </c:pt>
                <c:pt idx="18">
                  <c:v>43119</c:v>
                </c:pt>
                <c:pt idx="19">
                  <c:v>43120</c:v>
                </c:pt>
                <c:pt idx="20">
                  <c:v>43121</c:v>
                </c:pt>
                <c:pt idx="21">
                  <c:v>43122</c:v>
                </c:pt>
                <c:pt idx="22">
                  <c:v>43123</c:v>
                </c:pt>
                <c:pt idx="23">
                  <c:v>43124</c:v>
                </c:pt>
                <c:pt idx="24">
                  <c:v>43125</c:v>
                </c:pt>
                <c:pt idx="25">
                  <c:v>43126</c:v>
                </c:pt>
                <c:pt idx="26">
                  <c:v>43127</c:v>
                </c:pt>
                <c:pt idx="27">
                  <c:v>43128</c:v>
                </c:pt>
                <c:pt idx="28">
                  <c:v>43129</c:v>
                </c:pt>
                <c:pt idx="29">
                  <c:v>43130</c:v>
                </c:pt>
                <c:pt idx="30">
                  <c:v>43131</c:v>
                </c:pt>
                <c:pt idx="31">
                  <c:v>43132</c:v>
                </c:pt>
                <c:pt idx="32">
                  <c:v>43133</c:v>
                </c:pt>
                <c:pt idx="33">
                  <c:v>43134</c:v>
                </c:pt>
                <c:pt idx="34">
                  <c:v>43135</c:v>
                </c:pt>
                <c:pt idx="35">
                  <c:v>43136</c:v>
                </c:pt>
                <c:pt idx="36">
                  <c:v>43137</c:v>
                </c:pt>
                <c:pt idx="37">
                  <c:v>43138</c:v>
                </c:pt>
                <c:pt idx="38">
                  <c:v>43139</c:v>
                </c:pt>
                <c:pt idx="39">
                  <c:v>43140</c:v>
                </c:pt>
                <c:pt idx="40">
                  <c:v>43141</c:v>
                </c:pt>
              </c:numCache>
            </c:numRef>
          </c:cat>
          <c:val>
            <c:numRef>
              <c:f>'Line Chart and Combo Chart'!$C$4:$C$44</c:f>
              <c:numCache>
                <c:formatCode>General</c:formatCode>
                <c:ptCount val="41"/>
                <c:pt idx="0">
                  <c:v>2071</c:v>
                </c:pt>
                <c:pt idx="1">
                  <c:v>2074</c:v>
                </c:pt>
                <c:pt idx="2">
                  <c:v>2133</c:v>
                </c:pt>
                <c:pt idx="3">
                  <c:v>2139</c:v>
                </c:pt>
                <c:pt idx="4">
                  <c:v>2134</c:v>
                </c:pt>
                <c:pt idx="5">
                  <c:v>2056</c:v>
                </c:pt>
                <c:pt idx="6">
                  <c:v>2123</c:v>
                </c:pt>
                <c:pt idx="7">
                  <c:v>2075</c:v>
                </c:pt>
                <c:pt idx="8">
                  <c:v>2186</c:v>
                </c:pt>
                <c:pt idx="9">
                  <c:v>2109</c:v>
                </c:pt>
                <c:pt idx="10">
                  <c:v>2090</c:v>
                </c:pt>
                <c:pt idx="11">
                  <c:v>2006</c:v>
                </c:pt>
                <c:pt idx="12">
                  <c:v>2053</c:v>
                </c:pt>
                <c:pt idx="13">
                  <c:v>2023</c:v>
                </c:pt>
                <c:pt idx="14">
                  <c:v>2133</c:v>
                </c:pt>
                <c:pt idx="15">
                  <c:v>2032</c:v>
                </c:pt>
                <c:pt idx="16">
                  <c:v>2187</c:v>
                </c:pt>
                <c:pt idx="17">
                  <c:v>2182</c:v>
                </c:pt>
                <c:pt idx="18">
                  <c:v>2121</c:v>
                </c:pt>
                <c:pt idx="19">
                  <c:v>2104</c:v>
                </c:pt>
                <c:pt idx="20">
                  <c:v>2023</c:v>
                </c:pt>
                <c:pt idx="21">
                  <c:v>2154</c:v>
                </c:pt>
                <c:pt idx="22">
                  <c:v>2018</c:v>
                </c:pt>
                <c:pt idx="23">
                  <c:v>2107</c:v>
                </c:pt>
                <c:pt idx="24">
                  <c:v>2003</c:v>
                </c:pt>
                <c:pt idx="25">
                  <c:v>2167</c:v>
                </c:pt>
                <c:pt idx="26">
                  <c:v>2005</c:v>
                </c:pt>
                <c:pt idx="27">
                  <c:v>2136</c:v>
                </c:pt>
                <c:pt idx="28">
                  <c:v>2127</c:v>
                </c:pt>
                <c:pt idx="29">
                  <c:v>2152</c:v>
                </c:pt>
                <c:pt idx="30">
                  <c:v>2057</c:v>
                </c:pt>
                <c:pt idx="31">
                  <c:v>2126</c:v>
                </c:pt>
                <c:pt idx="32">
                  <c:v>2100</c:v>
                </c:pt>
                <c:pt idx="33">
                  <c:v>2110</c:v>
                </c:pt>
                <c:pt idx="34">
                  <c:v>2045</c:v>
                </c:pt>
                <c:pt idx="35">
                  <c:v>2166</c:v>
                </c:pt>
                <c:pt idx="36">
                  <c:v>2191</c:v>
                </c:pt>
                <c:pt idx="37">
                  <c:v>2035</c:v>
                </c:pt>
                <c:pt idx="38">
                  <c:v>2008</c:v>
                </c:pt>
                <c:pt idx="39">
                  <c:v>2162</c:v>
                </c:pt>
                <c:pt idx="40">
                  <c:v>2175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52-3E4B-8D77-820DD79B1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937311"/>
        <c:axId val="2042036944"/>
      </c:lineChart>
      <c:dateAx>
        <c:axId val="7493731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036944"/>
        <c:crosses val="autoZero"/>
        <c:auto val="1"/>
        <c:lblOffset val="100"/>
        <c:baseTimeUnit val="days"/>
      </c:dateAx>
      <c:valAx>
        <c:axId val="204203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3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Orders vs AOV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'Line Chart and Combo Chart'!$G$3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'Line Chart and Combo Chart'!$F$4:$F$15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 and Combo Chart'!$G$4:$G$15</c:f>
              <c:numCache>
                <c:formatCode>General</c:formatCode>
                <c:ptCount val="12"/>
                <c:pt idx="0">
                  <c:v>62730</c:v>
                </c:pt>
                <c:pt idx="1">
                  <c:v>64620</c:v>
                </c:pt>
                <c:pt idx="2">
                  <c:v>62010</c:v>
                </c:pt>
                <c:pt idx="3">
                  <c:v>60030</c:v>
                </c:pt>
                <c:pt idx="4">
                  <c:v>64560</c:v>
                </c:pt>
                <c:pt idx="5">
                  <c:v>62370</c:v>
                </c:pt>
                <c:pt idx="6">
                  <c:v>65520</c:v>
                </c:pt>
                <c:pt idx="7">
                  <c:v>63420</c:v>
                </c:pt>
                <c:pt idx="8">
                  <c:v>60900</c:v>
                </c:pt>
                <c:pt idx="9">
                  <c:v>65910</c:v>
                </c:pt>
                <c:pt idx="10">
                  <c:v>60840</c:v>
                </c:pt>
                <c:pt idx="11">
                  <c:v>60510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7-2547-AE55-DE5CCF7EB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1844432"/>
        <c:axId val="2042242656"/>
      </c:barChart>
      <c:lineChart>
        <c:grouping val="standard"/>
        <c:varyColors val="0"/>
        <c:ser>
          <c:idx val="1"/>
          <c:order val="1"/>
          <c:tx>
            <c:strRef>
              <c:f>'Line Chart and Combo Chart'!$H$3</c:f>
              <c:strCache>
                <c:ptCount val="1"/>
                <c:pt idx="0">
                  <c:v>AOV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 Chart and Combo Chart'!$F$4:$F$15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 and Combo Chart'!$H$4:$H$15</c:f>
              <c:numCache>
                <c:formatCode>General</c:formatCode>
                <c:ptCount val="12"/>
                <c:pt idx="0">
                  <c:v>438</c:v>
                </c:pt>
                <c:pt idx="1">
                  <c:v>412</c:v>
                </c:pt>
                <c:pt idx="2">
                  <c:v>396</c:v>
                </c:pt>
                <c:pt idx="3">
                  <c:v>420</c:v>
                </c:pt>
                <c:pt idx="4">
                  <c:v>401</c:v>
                </c:pt>
                <c:pt idx="5">
                  <c:v>452</c:v>
                </c:pt>
                <c:pt idx="6">
                  <c:v>361</c:v>
                </c:pt>
                <c:pt idx="7">
                  <c:v>492</c:v>
                </c:pt>
                <c:pt idx="8">
                  <c:v>454</c:v>
                </c:pt>
                <c:pt idx="9">
                  <c:v>377</c:v>
                </c:pt>
                <c:pt idx="10">
                  <c:v>395</c:v>
                </c:pt>
                <c:pt idx="11">
                  <c:v>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57-2547-AE55-DE5CCF7EB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5362976"/>
        <c:axId val="521328688"/>
      </c:lineChart>
      <c:catAx>
        <c:axId val="20418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242656"/>
        <c:crosses val="autoZero"/>
        <c:auto val="1"/>
        <c:lblAlgn val="ctr"/>
        <c:lblOffset val="100"/>
        <c:noMultiLvlLbl val="0"/>
      </c:catAx>
      <c:valAx>
        <c:axId val="204224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844432"/>
        <c:crosses val="autoZero"/>
        <c:crossBetween val="between"/>
      </c:valAx>
      <c:valAx>
        <c:axId val="5213286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362976"/>
        <c:crosses val="max"/>
        <c:crossBetween val="between"/>
      </c:valAx>
      <c:catAx>
        <c:axId val="1415362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13286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Orders</a:t>
            </a:r>
            <a:r>
              <a:rPr lang="en-GB" baseline="0"/>
              <a:t> vs Conversions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'Line Chart and Combo Chart'!$L$3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'Line Chart and Combo Chart'!$K$4:$K$15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 and Combo Chart'!$L$4:$L$15</c:f>
              <c:numCache>
                <c:formatCode>General</c:formatCode>
                <c:ptCount val="12"/>
                <c:pt idx="0">
                  <c:v>62730</c:v>
                </c:pt>
                <c:pt idx="1">
                  <c:v>64620</c:v>
                </c:pt>
                <c:pt idx="2">
                  <c:v>62010</c:v>
                </c:pt>
                <c:pt idx="3">
                  <c:v>60030</c:v>
                </c:pt>
                <c:pt idx="4">
                  <c:v>64560</c:v>
                </c:pt>
                <c:pt idx="5">
                  <c:v>62370</c:v>
                </c:pt>
                <c:pt idx="6">
                  <c:v>65520</c:v>
                </c:pt>
                <c:pt idx="7">
                  <c:v>63420</c:v>
                </c:pt>
                <c:pt idx="8">
                  <c:v>60900</c:v>
                </c:pt>
                <c:pt idx="9">
                  <c:v>65910</c:v>
                </c:pt>
                <c:pt idx="10">
                  <c:v>60840</c:v>
                </c:pt>
                <c:pt idx="11">
                  <c:v>60510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7-E648-A8C6-B4FFE3B8D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627855"/>
        <c:axId val="1771167008"/>
      </c:areaChart>
      <c:barChart>
        <c:barDir val="col"/>
        <c:grouping val="clustered"/>
        <c:varyColors val="0"/>
        <c:ser>
          <c:idx val="1"/>
          <c:order val="1"/>
          <c:tx>
            <c:strRef>
              <c:f>'Line Chart and Combo Chart'!$M$3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'Line Chart and Combo Chart'!$K$4:$K$15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 and Combo Chart'!$M$4:$M$15</c:f>
              <c:numCache>
                <c:formatCode>0.0%</c:formatCode>
                <c:ptCount val="12"/>
                <c:pt idx="0">
                  <c:v>3.5200000000000002E-2</c:v>
                </c:pt>
                <c:pt idx="1">
                  <c:v>4.7800000000000002E-2</c:v>
                </c:pt>
                <c:pt idx="2">
                  <c:v>3.1800000000000002E-2</c:v>
                </c:pt>
                <c:pt idx="3">
                  <c:v>3.1399999999999997E-2</c:v>
                </c:pt>
                <c:pt idx="4">
                  <c:v>4.1300000000000003E-2</c:v>
                </c:pt>
                <c:pt idx="5">
                  <c:v>4.8000000000000001E-2</c:v>
                </c:pt>
                <c:pt idx="6">
                  <c:v>3.44E-2</c:v>
                </c:pt>
                <c:pt idx="7">
                  <c:v>3.5900000000000001E-2</c:v>
                </c:pt>
                <c:pt idx="8">
                  <c:v>3.3399999999999999E-2</c:v>
                </c:pt>
                <c:pt idx="9">
                  <c:v>4.5199999999999997E-2</c:v>
                </c:pt>
                <c:pt idx="10">
                  <c:v>3.5499999999999997E-2</c:v>
                </c:pt>
                <c:pt idx="11">
                  <c:v>4.3799999999999999E-2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27-E648-A8C6-B4FFE3B8D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1684800"/>
        <c:axId val="1066578176"/>
      </c:barChart>
      <c:catAx>
        <c:axId val="204168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578176"/>
        <c:crosses val="autoZero"/>
        <c:auto val="1"/>
        <c:lblAlgn val="ctr"/>
        <c:lblOffset val="100"/>
        <c:noMultiLvlLbl val="0"/>
      </c:catAx>
      <c:valAx>
        <c:axId val="106657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684800"/>
        <c:crosses val="autoZero"/>
        <c:crossBetween val="between"/>
      </c:valAx>
      <c:valAx>
        <c:axId val="17711670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27855"/>
        <c:crosses val="max"/>
        <c:crossBetween val="between"/>
      </c:valAx>
      <c:catAx>
        <c:axId val="10486278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71167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Vs Marketing</a:t>
            </a:r>
            <a:r>
              <a:rPr lang="en-GB" baseline="0"/>
              <a:t> Cost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 and Combo Chart'!$Q$3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 and Combo Chart'!$P$4:$P$15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 and Combo Chart'!$Q$4:$Q$15</c:f>
              <c:numCache>
                <c:formatCode>General</c:formatCode>
                <c:ptCount val="12"/>
                <c:pt idx="0">
                  <c:v>1294138</c:v>
                </c:pt>
                <c:pt idx="1">
                  <c:v>1409663</c:v>
                </c:pt>
                <c:pt idx="2">
                  <c:v>1232520</c:v>
                </c:pt>
                <c:pt idx="3">
                  <c:v>1087439</c:v>
                </c:pt>
                <c:pt idx="4">
                  <c:v>1085880</c:v>
                </c:pt>
                <c:pt idx="5">
                  <c:v>1165347</c:v>
                </c:pt>
                <c:pt idx="6">
                  <c:v>1390923</c:v>
                </c:pt>
                <c:pt idx="7">
                  <c:v>1004237</c:v>
                </c:pt>
                <c:pt idx="8">
                  <c:v>1165063</c:v>
                </c:pt>
                <c:pt idx="9">
                  <c:v>1469249</c:v>
                </c:pt>
                <c:pt idx="10">
                  <c:v>1150852</c:v>
                </c:pt>
                <c:pt idx="11">
                  <c:v>1264893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D2-7142-9A45-416075A74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2517216"/>
        <c:axId val="740950800"/>
      </c:lineChart>
      <c:lineChart>
        <c:grouping val="standard"/>
        <c:varyColors val="0"/>
        <c:ser>
          <c:idx val="1"/>
          <c:order val="1"/>
          <c:tx>
            <c:strRef>
              <c:f>'Line Chart and Combo Chart'!$R$3</c:f>
              <c:strCache>
                <c:ptCount val="1"/>
                <c:pt idx="0">
                  <c:v>Marketing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 Chart and Combo Chart'!$P$4:$P$15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 and Combo Chart'!$R$4:$R$15</c:f>
              <c:numCache>
                <c:formatCode>General</c:formatCode>
                <c:ptCount val="12"/>
                <c:pt idx="0">
                  <c:v>104057</c:v>
                </c:pt>
                <c:pt idx="1">
                  <c:v>148384</c:v>
                </c:pt>
                <c:pt idx="2">
                  <c:v>111642</c:v>
                </c:pt>
                <c:pt idx="3">
                  <c:v>133834</c:v>
                </c:pt>
                <c:pt idx="4">
                  <c:v>103128</c:v>
                </c:pt>
                <c:pt idx="5">
                  <c:v>117452</c:v>
                </c:pt>
                <c:pt idx="6">
                  <c:v>111526</c:v>
                </c:pt>
                <c:pt idx="7">
                  <c:v>117867</c:v>
                </c:pt>
                <c:pt idx="8">
                  <c:v>130559</c:v>
                </c:pt>
                <c:pt idx="9">
                  <c:v>146276</c:v>
                </c:pt>
                <c:pt idx="10">
                  <c:v>147901</c:v>
                </c:pt>
                <c:pt idx="11">
                  <c:v>124530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D2-7142-9A45-416075A74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10095"/>
        <c:axId val="1825030032"/>
      </c:lineChart>
      <c:catAx>
        <c:axId val="204251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950800"/>
        <c:crosses val="autoZero"/>
        <c:auto val="1"/>
        <c:lblAlgn val="ctr"/>
        <c:lblOffset val="100"/>
        <c:noMultiLvlLbl val="0"/>
      </c:catAx>
      <c:valAx>
        <c:axId val="74095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51721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8250300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0095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218100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250300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13" Type="http://schemas.openxmlformats.org/officeDocument/2006/relationships/chart" Target="../charts/chart31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12" Type="http://schemas.openxmlformats.org/officeDocument/2006/relationships/chart" Target="../charts/chart30.xml"/><Relationship Id="rId17" Type="http://schemas.openxmlformats.org/officeDocument/2006/relationships/chart" Target="../charts/chart35.xml"/><Relationship Id="rId2" Type="http://schemas.openxmlformats.org/officeDocument/2006/relationships/chart" Target="../charts/chart20.xml"/><Relationship Id="rId16" Type="http://schemas.openxmlformats.org/officeDocument/2006/relationships/chart" Target="../charts/chart34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11" Type="http://schemas.openxmlformats.org/officeDocument/2006/relationships/chart" Target="../charts/chart29.xml"/><Relationship Id="rId5" Type="http://schemas.openxmlformats.org/officeDocument/2006/relationships/chart" Target="../charts/chart23.xml"/><Relationship Id="rId15" Type="http://schemas.openxmlformats.org/officeDocument/2006/relationships/chart" Target="../charts/chart33.xml"/><Relationship Id="rId10" Type="http://schemas.openxmlformats.org/officeDocument/2006/relationships/chart" Target="../charts/chart28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Relationship Id="rId14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3</xdr:row>
      <xdr:rowOff>129540</xdr:rowOff>
    </xdr:from>
    <xdr:to>
      <xdr:col>12</xdr:col>
      <xdr:colOff>213360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A7445E-4C8D-7894-5857-D2AFD3D65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403860</xdr:colOff>
      <xdr:row>25</xdr:row>
      <xdr:rowOff>15240</xdr:rowOff>
    </xdr:from>
    <xdr:to>
      <xdr:col>19</xdr:col>
      <xdr:colOff>38100</xdr:colOff>
      <xdr:row>42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A3ACBD-507B-8483-D358-206E37088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249766</xdr:colOff>
      <xdr:row>25</xdr:row>
      <xdr:rowOff>7620</xdr:rowOff>
    </xdr:from>
    <xdr:to>
      <xdr:col>9</xdr:col>
      <xdr:colOff>419099</xdr:colOff>
      <xdr:row>42</xdr:row>
      <xdr:rowOff>182880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394211-6DD6-6703-167B-1CCD19292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281940</xdr:colOff>
      <xdr:row>42</xdr:row>
      <xdr:rowOff>190500</xdr:rowOff>
    </xdr:from>
    <xdr:to>
      <xdr:col>9</xdr:col>
      <xdr:colOff>396240</xdr:colOff>
      <xdr:row>58</xdr:row>
      <xdr:rowOff>99059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C56AAA-C4F6-5209-B6CB-7CE379CFE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411480</xdr:colOff>
      <xdr:row>43</xdr:row>
      <xdr:rowOff>0</xdr:rowOff>
    </xdr:from>
    <xdr:to>
      <xdr:col>19</xdr:col>
      <xdr:colOff>45720</xdr:colOff>
      <xdr:row>58</xdr:row>
      <xdr:rowOff>106680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9F4787-6CE0-58A5-FFC9-CBB95E3DE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121920</xdr:colOff>
      <xdr:row>68</xdr:row>
      <xdr:rowOff>190500</xdr:rowOff>
    </xdr:from>
    <xdr:to>
      <xdr:col>8</xdr:col>
      <xdr:colOff>22860</xdr:colOff>
      <xdr:row>83</xdr:row>
      <xdr:rowOff>30480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B3DD773-6C00-83FC-A202-4CC8172D4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304800</xdr:colOff>
      <xdr:row>68</xdr:row>
      <xdr:rowOff>190500</xdr:rowOff>
    </xdr:from>
    <xdr:to>
      <xdr:col>16</xdr:col>
      <xdr:colOff>647700</xdr:colOff>
      <xdr:row>82</xdr:row>
      <xdr:rowOff>175260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EBC0375-230B-4227-A265-399D0F329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662940</xdr:colOff>
      <xdr:row>68</xdr:row>
      <xdr:rowOff>190500</xdr:rowOff>
    </xdr:from>
    <xdr:to>
      <xdr:col>25</xdr:col>
      <xdr:colOff>91440</xdr:colOff>
      <xdr:row>82</xdr:row>
      <xdr:rowOff>167640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C7B7CC6-1D68-4467-8E0F-C39615905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654539</xdr:colOff>
      <xdr:row>88</xdr:row>
      <xdr:rowOff>23446</xdr:rowOff>
    </xdr:from>
    <xdr:to>
      <xdr:col>18</xdr:col>
      <xdr:colOff>328246</xdr:colOff>
      <xdr:row>104</xdr:row>
      <xdr:rowOff>146537</xdr:rowOff>
    </xdr:to>
    <xdr:graphicFrame macro="">
      <xdr:nvGraphicFramePr>
        <xdr:cNvPr id="15" name="Chart 20">
          <a:extLst>
            <a:ext uri="{FF2B5EF4-FFF2-40B4-BE49-F238E27FC236}">
              <a16:creationId xmlns:a16="http://schemas.microsoft.com/office/drawing/2014/main" id="{A90142A5-623E-7AC0-1DFE-431522C42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97693</xdr:colOff>
      <xdr:row>89</xdr:row>
      <xdr:rowOff>156308</xdr:rowOff>
    </xdr:from>
    <xdr:to>
      <xdr:col>7</xdr:col>
      <xdr:colOff>644770</xdr:colOff>
      <xdr:row>104</xdr:row>
      <xdr:rowOff>166077</xdr:rowOff>
    </xdr:to>
    <xdr:graphicFrame macro="">
      <xdr:nvGraphicFramePr>
        <xdr:cNvPr id="17" name="Chart 2">
          <a:extLst>
            <a:ext uri="{FF2B5EF4-FFF2-40B4-BE49-F238E27FC236}">
              <a16:creationId xmlns:a16="http://schemas.microsoft.com/office/drawing/2014/main" id="{32C3BD2A-0422-47D7-A2D7-2CD7B58FE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0</xdr:colOff>
      <xdr:row>109</xdr:row>
      <xdr:rowOff>195384</xdr:rowOff>
    </xdr:from>
    <xdr:to>
      <xdr:col>9</xdr:col>
      <xdr:colOff>19539</xdr:colOff>
      <xdr:row>124</xdr:row>
      <xdr:rowOff>166077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2A68BD7-BB43-4DE4-9F0B-B9A5F9832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0</xdr:colOff>
      <xdr:row>110</xdr:row>
      <xdr:rowOff>58615</xdr:rowOff>
    </xdr:from>
    <xdr:to>
      <xdr:col>17</xdr:col>
      <xdr:colOff>654538</xdr:colOff>
      <xdr:row>124</xdr:row>
      <xdr:rowOff>7815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5302316-7870-46B4-891D-05AECAE851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0</xdr:colOff>
      <xdr:row>132</xdr:row>
      <xdr:rowOff>184728</xdr:rowOff>
    </xdr:from>
    <xdr:to>
      <xdr:col>17</xdr:col>
      <xdr:colOff>654243</xdr:colOff>
      <xdr:row>150</xdr:row>
      <xdr:rowOff>15394</xdr:rowOff>
    </xdr:to>
    <xdr:graphicFrame macro="">
      <xdr:nvGraphicFramePr>
        <xdr:cNvPr id="12" name="Chart 7">
          <a:extLst>
            <a:ext uri="{FF2B5EF4-FFF2-40B4-BE49-F238E27FC236}">
              <a16:creationId xmlns:a16="http://schemas.microsoft.com/office/drawing/2014/main" id="{809CE57B-00D9-40FE-A912-ACADE957C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477805</xdr:colOff>
      <xdr:row>133</xdr:row>
      <xdr:rowOff>0</xdr:rowOff>
    </xdr:from>
    <xdr:to>
      <xdr:col>9</xdr:col>
      <xdr:colOff>331266</xdr:colOff>
      <xdr:row>149</xdr:row>
      <xdr:rowOff>177030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C6A65F8-4220-41A2-9FA7-2C12AD68F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7697</xdr:colOff>
      <xdr:row>154</xdr:row>
      <xdr:rowOff>177030</xdr:rowOff>
    </xdr:from>
    <xdr:to>
      <xdr:col>8</xdr:col>
      <xdr:colOff>654242</xdr:colOff>
      <xdr:row>170</xdr:row>
      <xdr:rowOff>7696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9B28630-6A15-4FEE-A72A-D9FC3CA839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648511</xdr:colOff>
      <xdr:row>155</xdr:row>
      <xdr:rowOff>24319</xdr:rowOff>
    </xdr:from>
    <xdr:to>
      <xdr:col>17</xdr:col>
      <xdr:colOff>648511</xdr:colOff>
      <xdr:row>170</xdr:row>
      <xdr:rowOff>19455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46DAF35-94C8-4F02-8D06-706CD2816E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19</xdr:col>
      <xdr:colOff>48638</xdr:colOff>
      <xdr:row>42</xdr:row>
      <xdr:rowOff>186448</xdr:rowOff>
    </xdr:from>
    <xdr:to>
      <xdr:col>36</xdr:col>
      <xdr:colOff>40532</xdr:colOff>
      <xdr:row>58</xdr:row>
      <xdr:rowOff>81064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1C23C37-4802-4514-BBDE-3E824FEBE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33866</xdr:colOff>
      <xdr:row>17</xdr:row>
      <xdr:rowOff>194732</xdr:rowOff>
    </xdr:from>
    <xdr:to>
      <xdr:col>7</xdr:col>
      <xdr:colOff>2040466</xdr:colOff>
      <xdr:row>31</xdr:row>
      <xdr:rowOff>110066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39E240-482F-D0E5-8759-E17692A95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</xdr:colOff>
      <xdr:row>4</xdr:row>
      <xdr:rowOff>25400</xdr:rowOff>
    </xdr:from>
    <xdr:to>
      <xdr:col>19</xdr:col>
      <xdr:colOff>50800</xdr:colOff>
      <xdr:row>22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57D24B-5F69-9246-9B08-36FB80030F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577850</xdr:colOff>
      <xdr:row>29</xdr:row>
      <xdr:rowOff>0</xdr:rowOff>
    </xdr:from>
    <xdr:to>
      <xdr:col>19</xdr:col>
      <xdr:colOff>381000</xdr:colOff>
      <xdr:row>45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BA0D1A-4300-A340-B474-75D2380098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812800</xdr:colOff>
      <xdr:row>29</xdr:row>
      <xdr:rowOff>25400</xdr:rowOff>
    </xdr:from>
    <xdr:to>
      <xdr:col>10</xdr:col>
      <xdr:colOff>571500</xdr:colOff>
      <xdr:row>45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DD4E2C-1DE3-1046-A5A6-DE9493A1D0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736600</xdr:colOff>
      <xdr:row>59</xdr:row>
      <xdr:rowOff>25400</xdr:rowOff>
    </xdr:from>
    <xdr:to>
      <xdr:col>19</xdr:col>
      <xdr:colOff>342900</xdr:colOff>
      <xdr:row>72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F2922E-7F98-A441-93D4-9A9BB89297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762000</xdr:colOff>
      <xdr:row>45</xdr:row>
      <xdr:rowOff>114300</xdr:rowOff>
    </xdr:from>
    <xdr:to>
      <xdr:col>10</xdr:col>
      <xdr:colOff>571500</xdr:colOff>
      <xdr:row>59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668D507-8F93-4F49-827C-213FE3AF1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571500</xdr:colOff>
      <xdr:row>45</xdr:row>
      <xdr:rowOff>127000</xdr:rowOff>
    </xdr:from>
    <xdr:to>
      <xdr:col>19</xdr:col>
      <xdr:colOff>366888</xdr:colOff>
      <xdr:row>59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2D769E-8E06-E74B-A75C-0CA70061C2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12700</xdr:colOff>
      <xdr:row>78</xdr:row>
      <xdr:rowOff>0</xdr:rowOff>
    </xdr:from>
    <xdr:to>
      <xdr:col>8</xdr:col>
      <xdr:colOff>12700</xdr:colOff>
      <xdr:row>91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68360DC-EE60-9142-9ADA-1A0CFFF922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12700</xdr:colOff>
      <xdr:row>78</xdr:row>
      <xdr:rowOff>12700</xdr:rowOff>
    </xdr:from>
    <xdr:to>
      <xdr:col>13</xdr:col>
      <xdr:colOff>533400</xdr:colOff>
      <xdr:row>91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0209500-D80A-0F4C-A913-4284B45F9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558800</xdr:colOff>
      <xdr:row>78</xdr:row>
      <xdr:rowOff>0</xdr:rowOff>
    </xdr:from>
    <xdr:to>
      <xdr:col>19</xdr:col>
      <xdr:colOff>177800</xdr:colOff>
      <xdr:row>91</xdr:row>
      <xdr:rowOff>101600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3A5B40A-A61E-B14C-9BFC-52F31ACCF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0</xdr:colOff>
      <xdr:row>97</xdr:row>
      <xdr:rowOff>12700</xdr:rowOff>
    </xdr:from>
    <xdr:to>
      <xdr:col>8</xdr:col>
      <xdr:colOff>762000</xdr:colOff>
      <xdr:row>110</xdr:row>
      <xdr:rowOff>114300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A091A96-8904-414E-B083-2F337C72E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806450</xdr:colOff>
      <xdr:row>97</xdr:row>
      <xdr:rowOff>88900</xdr:rowOff>
    </xdr:from>
    <xdr:to>
      <xdr:col>15</xdr:col>
      <xdr:colOff>812800</xdr:colOff>
      <xdr:row>110</xdr:row>
      <xdr:rowOff>190500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4D510D4-4CC2-7041-93DA-A6549083C3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819150</xdr:colOff>
      <xdr:row>115</xdr:row>
      <xdr:rowOff>12700</xdr:rowOff>
    </xdr:from>
    <xdr:to>
      <xdr:col>9</xdr:col>
      <xdr:colOff>0</xdr:colOff>
      <xdr:row>128</xdr:row>
      <xdr:rowOff>114300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A4F41BD-8ED0-8249-BFAD-F82C5B48D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0</xdr:colOff>
      <xdr:row>115</xdr:row>
      <xdr:rowOff>25400</xdr:rowOff>
    </xdr:from>
    <xdr:to>
      <xdr:col>16</xdr:col>
      <xdr:colOff>25400</xdr:colOff>
      <xdr:row>128</xdr:row>
      <xdr:rowOff>127000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779524E7-53E2-3A49-8887-EA7434F51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12700</xdr:colOff>
      <xdr:row>135</xdr:row>
      <xdr:rowOff>25400</xdr:rowOff>
    </xdr:from>
    <xdr:to>
      <xdr:col>8</xdr:col>
      <xdr:colOff>749300</xdr:colOff>
      <xdr:row>150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5E5F59CE-D8B5-C849-9980-9BAACBFDE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0</xdr:colOff>
      <xdr:row>134</xdr:row>
      <xdr:rowOff>310443</xdr:rowOff>
    </xdr:from>
    <xdr:to>
      <xdr:col>16</xdr:col>
      <xdr:colOff>12700</xdr:colOff>
      <xdr:row>149</xdr:row>
      <xdr:rowOff>169332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941A02B-A970-EA45-9A4F-3F11E8AD7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50800</xdr:colOff>
      <xdr:row>151</xdr:row>
      <xdr:rowOff>25399</xdr:rowOff>
    </xdr:from>
    <xdr:to>
      <xdr:col>9</xdr:col>
      <xdr:colOff>0</xdr:colOff>
      <xdr:row>165</xdr:row>
      <xdr:rowOff>197554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C8F08327-E464-2F4E-8830-B42A67AC3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0</xdr:colOff>
      <xdr:row>151</xdr:row>
      <xdr:rowOff>0</xdr:rowOff>
    </xdr:from>
    <xdr:to>
      <xdr:col>16</xdr:col>
      <xdr:colOff>25400</xdr:colOff>
      <xdr:row>165</xdr:row>
      <xdr:rowOff>183444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BE0B9E1E-4035-D74C-A6A6-FB5C82278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A9D3-D11B-4E41-908B-1A56A20999E6}">
  <dimension ref="A3:V154"/>
  <sheetViews>
    <sheetView topLeftCell="D40" zoomScale="94" zoomScaleNormal="99" workbookViewId="0">
      <selection activeCell="T61" sqref="T61"/>
    </sheetView>
  </sheetViews>
  <sheetFormatPr defaultRowHeight="15.6" x14ac:dyDescent="0.3"/>
  <sheetData>
    <row r="3" spans="1:4" x14ac:dyDescent="0.3">
      <c r="A3" s="35" t="s">
        <v>117</v>
      </c>
      <c r="B3" s="35"/>
      <c r="C3" s="35"/>
      <c r="D3" s="35"/>
    </row>
    <row r="24" spans="1:4" x14ac:dyDescent="0.3">
      <c r="A24" s="36" t="s">
        <v>118</v>
      </c>
      <c r="B24" s="36"/>
      <c r="C24" s="36"/>
      <c r="D24" s="30"/>
    </row>
    <row r="68" spans="1:22" x14ac:dyDescent="0.3">
      <c r="A68" s="33" t="s">
        <v>119</v>
      </c>
      <c r="B68" s="33"/>
      <c r="K68" s="33" t="s">
        <v>120</v>
      </c>
      <c r="L68" s="33"/>
      <c r="M68" s="33"/>
      <c r="N68" s="33"/>
      <c r="R68" s="33" t="s">
        <v>121</v>
      </c>
      <c r="S68" s="33"/>
      <c r="T68" s="33"/>
      <c r="U68" s="33"/>
      <c r="V68" s="33"/>
    </row>
    <row r="86" spans="2:13" x14ac:dyDescent="0.3">
      <c r="B86" s="31"/>
      <c r="C86" s="31" t="s">
        <v>121</v>
      </c>
      <c r="D86" s="31"/>
      <c r="E86" s="31"/>
      <c r="F86" s="31"/>
      <c r="J86" s="34" t="s">
        <v>122</v>
      </c>
      <c r="K86" s="34"/>
      <c r="L86" s="34"/>
      <c r="M86" s="34"/>
    </row>
    <row r="107" spans="3:22" x14ac:dyDescent="0.3">
      <c r="J107" s="33" t="s">
        <v>124</v>
      </c>
      <c r="K107" s="33"/>
      <c r="L107" s="33"/>
      <c r="M107" s="33"/>
      <c r="N107" s="33"/>
      <c r="O107" s="33"/>
    </row>
    <row r="108" spans="3:22" x14ac:dyDescent="0.3">
      <c r="C108" s="33" t="s">
        <v>123</v>
      </c>
      <c r="D108" s="33"/>
      <c r="E108" s="33"/>
      <c r="F108" s="33"/>
      <c r="J108" s="33"/>
      <c r="K108" s="33"/>
      <c r="L108" s="33"/>
      <c r="M108" s="33"/>
      <c r="N108" s="33"/>
      <c r="O108" s="33"/>
    </row>
    <row r="109" spans="3:22" x14ac:dyDescent="0.3">
      <c r="C109" s="33"/>
      <c r="D109" s="33"/>
      <c r="E109" s="33"/>
      <c r="F109" s="33"/>
      <c r="J109" s="33"/>
      <c r="K109" s="33"/>
      <c r="L109" s="33"/>
      <c r="M109" s="33"/>
      <c r="N109" s="33"/>
      <c r="O109" s="33"/>
      <c r="T109" s="33"/>
      <c r="U109" s="33"/>
      <c r="V109" s="33"/>
    </row>
    <row r="132" spans="3:14" x14ac:dyDescent="0.3">
      <c r="C132" s="33" t="s">
        <v>125</v>
      </c>
      <c r="D132" s="33"/>
      <c r="E132" s="33"/>
      <c r="K132" s="31"/>
      <c r="L132" s="31" t="s">
        <v>126</v>
      </c>
      <c r="M132" s="31" t="s">
        <v>127</v>
      </c>
      <c r="N132" s="31"/>
    </row>
    <row r="154" spans="2:14" x14ac:dyDescent="0.3">
      <c r="B154" s="33" t="s">
        <v>128</v>
      </c>
      <c r="C154" s="34"/>
      <c r="D154" s="34"/>
      <c r="E154" s="34"/>
      <c r="J154" s="33" t="s">
        <v>129</v>
      </c>
      <c r="K154" s="33"/>
      <c r="L154" s="33"/>
      <c r="M154" s="33"/>
      <c r="N154" s="33"/>
    </row>
  </sheetData>
  <mergeCells count="12">
    <mergeCell ref="T109:V109"/>
    <mergeCell ref="A3:D3"/>
    <mergeCell ref="A24:C24"/>
    <mergeCell ref="A68:B68"/>
    <mergeCell ref="K68:N68"/>
    <mergeCell ref="R68:V68"/>
    <mergeCell ref="C132:E132"/>
    <mergeCell ref="B154:E154"/>
    <mergeCell ref="J154:N154"/>
    <mergeCell ref="J86:M86"/>
    <mergeCell ref="C108:F109"/>
    <mergeCell ref="J107:O10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55D81-0AF5-1946-AD9D-5CDBE9434BAF}">
  <dimension ref="B2:AM83"/>
  <sheetViews>
    <sheetView tabSelected="1" topLeftCell="C1" zoomScale="90" zoomScaleNormal="90" workbookViewId="0">
      <selection activeCell="G3" sqref="G3:K21"/>
    </sheetView>
  </sheetViews>
  <sheetFormatPr defaultColWidth="11.19921875" defaultRowHeight="15.6" x14ac:dyDescent="0.3"/>
  <cols>
    <col min="2" max="2" width="42.19921875" bestFit="1" customWidth="1"/>
    <col min="3" max="3" width="10.19921875" bestFit="1" customWidth="1"/>
    <col min="7" max="7" width="15.796875" bestFit="1" customWidth="1"/>
    <col min="8" max="8" width="14.5" bestFit="1" customWidth="1"/>
    <col min="9" max="9" width="15.19921875" customWidth="1"/>
    <col min="10" max="10" width="12.296875" customWidth="1"/>
    <col min="20" max="20" width="13" bestFit="1" customWidth="1"/>
  </cols>
  <sheetData>
    <row r="2" spans="2:39" ht="23.4" x14ac:dyDescent="0.45">
      <c r="B2" s="12" t="s">
        <v>104</v>
      </c>
      <c r="G2" s="12" t="s">
        <v>105</v>
      </c>
      <c r="N2" s="12" t="s">
        <v>106</v>
      </c>
      <c r="R2" s="12" t="s">
        <v>107</v>
      </c>
      <c r="Y2" s="12" t="s">
        <v>108</v>
      </c>
    </row>
    <row r="3" spans="2:39" x14ac:dyDescent="0.3">
      <c r="B3" s="7" t="s">
        <v>34</v>
      </c>
      <c r="C3" s="7" t="s">
        <v>33</v>
      </c>
      <c r="G3" s="8" t="s">
        <v>54</v>
      </c>
      <c r="H3" s="8" t="s">
        <v>55</v>
      </c>
      <c r="I3" s="8" t="s">
        <v>57</v>
      </c>
      <c r="J3" s="8" t="s">
        <v>56</v>
      </c>
      <c r="K3" s="8" t="s">
        <v>58</v>
      </c>
      <c r="N3" s="10" t="s">
        <v>60</v>
      </c>
      <c r="O3" s="10" t="s">
        <v>59</v>
      </c>
      <c r="R3" s="11" t="s">
        <v>60</v>
      </c>
      <c r="S3" s="11" t="s">
        <v>73</v>
      </c>
      <c r="T3" s="11" t="s">
        <v>74</v>
      </c>
      <c r="U3" s="11" t="s">
        <v>75</v>
      </c>
      <c r="V3" s="11" t="s">
        <v>76</v>
      </c>
      <c r="Y3" s="13" t="s">
        <v>77</v>
      </c>
      <c r="Z3" s="13" t="s">
        <v>78</v>
      </c>
      <c r="AA3" s="13" t="s">
        <v>79</v>
      </c>
      <c r="AB3" s="13" t="s">
        <v>80</v>
      </c>
      <c r="AC3" s="13" t="s">
        <v>81</v>
      </c>
    </row>
    <row r="4" spans="2:39" ht="20.399999999999999" x14ac:dyDescent="0.35">
      <c r="B4" s="6" t="s">
        <v>0</v>
      </c>
      <c r="C4" s="6">
        <v>205867440</v>
      </c>
      <c r="G4" s="6" t="s">
        <v>36</v>
      </c>
      <c r="H4" s="6">
        <v>1046</v>
      </c>
      <c r="I4" s="6">
        <v>520</v>
      </c>
      <c r="J4" s="6">
        <v>211</v>
      </c>
      <c r="K4" s="6">
        <f>SUM(H4:J4)</f>
        <v>1777</v>
      </c>
      <c r="N4" s="6" t="s">
        <v>61</v>
      </c>
      <c r="O4" s="9">
        <v>806</v>
      </c>
      <c r="P4" s="3"/>
      <c r="R4" s="6" t="s">
        <v>61</v>
      </c>
      <c r="S4" s="6">
        <v>10943</v>
      </c>
      <c r="T4" s="6">
        <v>2161</v>
      </c>
      <c r="U4" s="6">
        <v>7633</v>
      </c>
      <c r="V4" s="6">
        <v>21032</v>
      </c>
      <c r="Y4" s="14" t="s">
        <v>61</v>
      </c>
      <c r="Z4" s="6">
        <v>1818</v>
      </c>
      <c r="AA4" s="6">
        <v>724</v>
      </c>
      <c r="AB4" s="6">
        <v>429</v>
      </c>
      <c r="AC4" s="6">
        <v>2967</v>
      </c>
      <c r="AJ4" s="1"/>
      <c r="AM4" s="2"/>
    </row>
    <row r="5" spans="2:39" ht="20.399999999999999" x14ac:dyDescent="0.35">
      <c r="B5" s="6" t="s">
        <v>1</v>
      </c>
      <c r="C5" s="6">
        <v>112378989</v>
      </c>
      <c r="G5" s="6" t="s">
        <v>37</v>
      </c>
      <c r="H5" s="6">
        <v>1107</v>
      </c>
      <c r="I5" s="6">
        <v>588</v>
      </c>
      <c r="J5" s="6">
        <v>257</v>
      </c>
      <c r="K5" s="6">
        <f t="shared" ref="K5:K21" si="0">SUM(H5:J5)</f>
        <v>1952</v>
      </c>
      <c r="N5" s="6" t="s">
        <v>62</v>
      </c>
      <c r="O5" s="9">
        <v>749</v>
      </c>
      <c r="P5" s="3"/>
      <c r="R5" s="6" t="s">
        <v>62</v>
      </c>
      <c r="S5" s="6">
        <v>11552</v>
      </c>
      <c r="T5" s="6">
        <v>2331</v>
      </c>
      <c r="U5" s="6">
        <v>7530</v>
      </c>
      <c r="V5" s="6">
        <v>21032</v>
      </c>
      <c r="Y5" s="14" t="s">
        <v>62</v>
      </c>
      <c r="Z5" s="6">
        <v>1013</v>
      </c>
      <c r="AA5" s="6">
        <v>522</v>
      </c>
      <c r="AB5" s="6">
        <v>389</v>
      </c>
      <c r="AC5" s="6">
        <v>2035</v>
      </c>
      <c r="AJ5" s="1"/>
      <c r="AM5" s="2"/>
    </row>
    <row r="6" spans="2:39" ht="20.399999999999999" x14ac:dyDescent="0.35">
      <c r="B6" s="6" t="s">
        <v>2</v>
      </c>
      <c r="C6" s="6">
        <v>103817951</v>
      </c>
      <c r="G6" s="6" t="s">
        <v>38</v>
      </c>
      <c r="H6" s="6">
        <v>1187</v>
      </c>
      <c r="I6" s="6">
        <v>633</v>
      </c>
      <c r="J6" s="6">
        <v>262</v>
      </c>
      <c r="K6" s="6">
        <f t="shared" si="0"/>
        <v>2082</v>
      </c>
      <c r="N6" s="6" t="s">
        <v>63</v>
      </c>
      <c r="O6" s="9">
        <v>734</v>
      </c>
      <c r="P6" s="3"/>
      <c r="R6" s="6" t="s">
        <v>63</v>
      </c>
      <c r="S6" s="6">
        <v>8953</v>
      </c>
      <c r="T6" s="6">
        <v>2048</v>
      </c>
      <c r="U6" s="6">
        <v>12498</v>
      </c>
      <c r="V6" s="6">
        <v>21032</v>
      </c>
      <c r="Y6" s="14" t="s">
        <v>63</v>
      </c>
      <c r="Z6" s="6">
        <v>1229</v>
      </c>
      <c r="AA6" s="6">
        <v>632</v>
      </c>
      <c r="AB6" s="6">
        <v>456</v>
      </c>
      <c r="AC6" s="6">
        <v>2516</v>
      </c>
      <c r="AJ6" s="1"/>
      <c r="AM6" s="2"/>
    </row>
    <row r="7" spans="2:39" ht="20.399999999999999" x14ac:dyDescent="0.35">
      <c r="B7" s="6" t="s">
        <v>3</v>
      </c>
      <c r="C7" s="6">
        <v>92828987</v>
      </c>
      <c r="G7" s="6" t="s">
        <v>39</v>
      </c>
      <c r="H7" s="6">
        <v>1006</v>
      </c>
      <c r="I7" s="6">
        <v>634</v>
      </c>
      <c r="J7" s="6">
        <v>223</v>
      </c>
      <c r="K7" s="6">
        <f t="shared" si="0"/>
        <v>1863</v>
      </c>
      <c r="N7" s="6" t="s">
        <v>64</v>
      </c>
      <c r="O7" s="9">
        <v>683</v>
      </c>
      <c r="P7" s="3"/>
      <c r="R7" s="6" t="s">
        <v>64</v>
      </c>
      <c r="S7" s="6">
        <v>9450</v>
      </c>
      <c r="T7" s="6">
        <v>2239</v>
      </c>
      <c r="U7" s="6">
        <v>6055</v>
      </c>
      <c r="V7" s="6">
        <v>21032</v>
      </c>
      <c r="Y7" s="14" t="s">
        <v>64</v>
      </c>
      <c r="Z7" s="6">
        <v>1700</v>
      </c>
      <c r="AA7" s="6">
        <v>768</v>
      </c>
      <c r="AB7" s="6">
        <v>245</v>
      </c>
      <c r="AC7" s="6">
        <v>2843</v>
      </c>
      <c r="AJ7" s="1"/>
      <c r="AM7" s="2"/>
    </row>
    <row r="8" spans="2:39" ht="20.399999999999999" x14ac:dyDescent="0.35">
      <c r="B8" s="6" t="s">
        <v>4</v>
      </c>
      <c r="C8" s="6">
        <v>76018492</v>
      </c>
      <c r="G8" s="6" t="s">
        <v>40</v>
      </c>
      <c r="H8" s="6">
        <v>1178</v>
      </c>
      <c r="I8" s="6">
        <v>566</v>
      </c>
      <c r="J8" s="6">
        <v>219</v>
      </c>
      <c r="K8" s="6">
        <f t="shared" si="0"/>
        <v>1963</v>
      </c>
      <c r="N8" s="6" t="s">
        <v>65</v>
      </c>
      <c r="O8" s="9">
        <v>614</v>
      </c>
      <c r="P8" s="3"/>
      <c r="R8" s="6" t="s">
        <v>65</v>
      </c>
      <c r="S8" s="6">
        <v>9158</v>
      </c>
      <c r="T8" s="6">
        <v>2821</v>
      </c>
      <c r="U8" s="6">
        <v>6702</v>
      </c>
      <c r="V8" s="6">
        <v>21032</v>
      </c>
      <c r="Y8" s="14" t="s">
        <v>65</v>
      </c>
      <c r="Z8" s="6">
        <v>1228</v>
      </c>
      <c r="AA8" s="6">
        <v>768</v>
      </c>
      <c r="AB8" s="6">
        <v>447</v>
      </c>
      <c r="AC8" s="6">
        <v>2971</v>
      </c>
      <c r="AJ8" s="1"/>
      <c r="AM8" s="2"/>
    </row>
    <row r="9" spans="2:39" ht="20.399999999999999" x14ac:dyDescent="0.35">
      <c r="B9" s="6" t="s">
        <v>5</v>
      </c>
      <c r="C9" s="6">
        <v>73573914</v>
      </c>
      <c r="G9" s="6" t="s">
        <v>41</v>
      </c>
      <c r="H9" s="6">
        <v>1051</v>
      </c>
      <c r="I9" s="6">
        <v>508</v>
      </c>
      <c r="J9" s="6">
        <v>236</v>
      </c>
      <c r="K9" s="6">
        <f t="shared" si="0"/>
        <v>1795</v>
      </c>
      <c r="N9" s="6" t="s">
        <v>66</v>
      </c>
      <c r="O9" s="9">
        <v>620</v>
      </c>
      <c r="P9" s="3"/>
      <c r="R9" s="6" t="s">
        <v>66</v>
      </c>
      <c r="S9" s="6">
        <v>8197</v>
      </c>
      <c r="T9" s="6">
        <v>2337</v>
      </c>
      <c r="U9" s="6">
        <v>7774</v>
      </c>
      <c r="V9" s="6">
        <v>21032</v>
      </c>
      <c r="Y9" s="14" t="s">
        <v>66</v>
      </c>
      <c r="Z9" s="6">
        <v>1747</v>
      </c>
      <c r="AA9" s="6">
        <v>785</v>
      </c>
      <c r="AB9" s="6">
        <v>375</v>
      </c>
      <c r="AC9" s="6">
        <v>2766</v>
      </c>
      <c r="AJ9" s="1"/>
      <c r="AM9" s="2"/>
    </row>
    <row r="10" spans="2:39" ht="20.399999999999999" x14ac:dyDescent="0.35">
      <c r="B10" s="6" t="s">
        <v>6</v>
      </c>
      <c r="C10" s="6">
        <v>68582836</v>
      </c>
      <c r="G10" s="6" t="s">
        <v>42</v>
      </c>
      <c r="H10" s="6">
        <v>1171</v>
      </c>
      <c r="I10" s="6">
        <v>614</v>
      </c>
      <c r="J10" s="6">
        <v>288</v>
      </c>
      <c r="K10" s="6">
        <f t="shared" si="0"/>
        <v>2073</v>
      </c>
      <c r="N10" s="6" t="s">
        <v>67</v>
      </c>
      <c r="O10" s="9">
        <v>652</v>
      </c>
      <c r="P10" s="3"/>
      <c r="R10" s="6" t="s">
        <v>67</v>
      </c>
      <c r="S10" s="6">
        <v>10925</v>
      </c>
      <c r="T10" s="6">
        <v>2066</v>
      </c>
      <c r="U10" s="6">
        <v>6000</v>
      </c>
      <c r="V10" s="6">
        <v>21032</v>
      </c>
      <c r="Y10" s="14" t="s">
        <v>67</v>
      </c>
      <c r="Z10" s="6">
        <v>1624</v>
      </c>
      <c r="AA10" s="6">
        <v>801</v>
      </c>
      <c r="AB10" s="6">
        <v>203</v>
      </c>
      <c r="AC10" s="6">
        <v>2803</v>
      </c>
      <c r="AJ10" s="1"/>
      <c r="AM10" s="2"/>
    </row>
    <row r="11" spans="2:39" ht="20.399999999999999" x14ac:dyDescent="0.35">
      <c r="B11" s="6" t="s">
        <v>7</v>
      </c>
      <c r="C11" s="6">
        <v>65930328</v>
      </c>
      <c r="G11" s="6" t="s">
        <v>43</v>
      </c>
      <c r="H11" s="6">
        <v>1066</v>
      </c>
      <c r="I11" s="6">
        <v>583</v>
      </c>
      <c r="J11" s="6">
        <v>295</v>
      </c>
      <c r="K11" s="6">
        <f t="shared" si="0"/>
        <v>1944</v>
      </c>
      <c r="N11" s="6" t="s">
        <v>68</v>
      </c>
      <c r="O11" s="9">
        <v>671</v>
      </c>
      <c r="P11" s="3"/>
      <c r="R11" s="6" t="s">
        <v>68</v>
      </c>
      <c r="S11" s="6">
        <v>11527</v>
      </c>
      <c r="T11" s="6">
        <v>2721</v>
      </c>
      <c r="U11" s="6">
        <v>6362</v>
      </c>
      <c r="V11" s="6">
        <v>21032</v>
      </c>
      <c r="Y11" s="14" t="s">
        <v>68</v>
      </c>
      <c r="Z11" s="6">
        <v>1435</v>
      </c>
      <c r="AA11" s="6">
        <v>771</v>
      </c>
      <c r="AB11" s="6">
        <v>397</v>
      </c>
      <c r="AC11" s="6">
        <v>2106</v>
      </c>
      <c r="AJ11" s="1"/>
      <c r="AM11" s="2"/>
    </row>
    <row r="12" spans="2:39" ht="20.399999999999999" x14ac:dyDescent="0.35">
      <c r="B12" s="6" t="s">
        <v>8</v>
      </c>
      <c r="C12" s="6">
        <v>60965960</v>
      </c>
      <c r="G12" s="6" t="s">
        <v>44</v>
      </c>
      <c r="H12" s="6">
        <v>1064</v>
      </c>
      <c r="I12" s="6">
        <v>584</v>
      </c>
      <c r="J12" s="6">
        <v>274</v>
      </c>
      <c r="K12" s="6">
        <f t="shared" si="0"/>
        <v>1922</v>
      </c>
      <c r="N12" s="6" t="s">
        <v>69</v>
      </c>
      <c r="O12" s="9">
        <v>705</v>
      </c>
      <c r="P12" s="3"/>
      <c r="R12" s="6" t="s">
        <v>69</v>
      </c>
      <c r="S12" s="6">
        <v>9164</v>
      </c>
      <c r="T12" s="6">
        <v>2424</v>
      </c>
      <c r="U12" s="6">
        <v>7173</v>
      </c>
      <c r="V12" s="6">
        <v>21032</v>
      </c>
      <c r="Y12" s="14" t="s">
        <v>69</v>
      </c>
      <c r="Z12" s="6">
        <v>1268</v>
      </c>
      <c r="AA12" s="6">
        <v>874</v>
      </c>
      <c r="AB12" s="6">
        <v>222</v>
      </c>
      <c r="AC12" s="6">
        <v>2249</v>
      </c>
      <c r="AJ12" s="1"/>
      <c r="AM12" s="2"/>
    </row>
    <row r="13" spans="2:39" ht="20.399999999999999" x14ac:dyDescent="0.35">
      <c r="B13" s="6" t="s">
        <v>9</v>
      </c>
      <c r="C13" s="6">
        <v>49576771</v>
      </c>
      <c r="G13" s="6" t="s">
        <v>45</v>
      </c>
      <c r="H13" s="6">
        <v>1069</v>
      </c>
      <c r="I13" s="6">
        <v>588</v>
      </c>
      <c r="J13" s="6">
        <v>260</v>
      </c>
      <c r="K13" s="6">
        <f t="shared" si="0"/>
        <v>1917</v>
      </c>
      <c r="N13" s="6" t="s">
        <v>70</v>
      </c>
      <c r="O13" s="9">
        <v>712</v>
      </c>
      <c r="P13" s="3"/>
      <c r="R13" s="6" t="s">
        <v>70</v>
      </c>
      <c r="S13" s="6">
        <v>9389</v>
      </c>
      <c r="T13" s="6">
        <v>2225</v>
      </c>
      <c r="U13" s="6">
        <v>17286</v>
      </c>
      <c r="V13" s="6">
        <v>21032</v>
      </c>
      <c r="Y13" s="14" t="s">
        <v>70</v>
      </c>
      <c r="Z13" s="6">
        <v>1197</v>
      </c>
      <c r="AA13" s="6">
        <v>554</v>
      </c>
      <c r="AB13" s="6">
        <v>473</v>
      </c>
      <c r="AC13" s="6">
        <v>2056</v>
      </c>
      <c r="AJ13" s="1"/>
      <c r="AM13" s="2"/>
    </row>
    <row r="14" spans="2:39" ht="20.399999999999999" x14ac:dyDescent="0.35">
      <c r="B14" s="6" t="s">
        <v>10</v>
      </c>
      <c r="C14" s="6">
        <v>41961570</v>
      </c>
      <c r="G14" s="6" t="s">
        <v>46</v>
      </c>
      <c r="H14" s="6">
        <v>1024</v>
      </c>
      <c r="I14" s="6">
        <v>688</v>
      </c>
      <c r="J14" s="6">
        <v>293</v>
      </c>
      <c r="K14" s="6">
        <f t="shared" si="0"/>
        <v>2005</v>
      </c>
      <c r="N14" s="6" t="s">
        <v>71</v>
      </c>
      <c r="O14" s="9">
        <v>690</v>
      </c>
      <c r="P14" s="3"/>
      <c r="R14" s="6" t="s">
        <v>71</v>
      </c>
      <c r="S14" s="6">
        <v>11263</v>
      </c>
      <c r="T14" s="6">
        <v>2087</v>
      </c>
      <c r="U14" s="6">
        <v>6388</v>
      </c>
      <c r="V14" s="6">
        <v>21032</v>
      </c>
      <c r="Y14" s="14" t="s">
        <v>71</v>
      </c>
      <c r="Z14" s="6">
        <v>1376</v>
      </c>
      <c r="AA14" s="6">
        <v>621</v>
      </c>
      <c r="AB14" s="6">
        <v>391</v>
      </c>
      <c r="AC14" s="6">
        <v>2022</v>
      </c>
      <c r="AJ14" s="1"/>
      <c r="AM14" s="2"/>
    </row>
    <row r="15" spans="2:39" ht="20.399999999999999" x14ac:dyDescent="0.35">
      <c r="B15" s="6" t="s">
        <v>11</v>
      </c>
      <c r="C15" s="6">
        <v>36639846</v>
      </c>
      <c r="G15" s="6" t="s">
        <v>47</v>
      </c>
      <c r="H15" s="6">
        <v>1013</v>
      </c>
      <c r="I15" s="6">
        <v>571</v>
      </c>
      <c r="J15" s="6">
        <v>226</v>
      </c>
      <c r="K15" s="6">
        <f t="shared" si="0"/>
        <v>1810</v>
      </c>
      <c r="N15" s="6" t="s">
        <v>72</v>
      </c>
      <c r="O15" s="9">
        <v>704</v>
      </c>
      <c r="P15" s="3"/>
      <c r="R15" s="6" t="s">
        <v>72</v>
      </c>
      <c r="S15" s="6">
        <v>8886</v>
      </c>
      <c r="T15" s="6">
        <v>2162</v>
      </c>
      <c r="U15" s="6">
        <v>16524</v>
      </c>
      <c r="V15" s="6">
        <v>21032</v>
      </c>
      <c r="Y15" s="14" t="s">
        <v>72</v>
      </c>
      <c r="Z15" s="6">
        <v>1368</v>
      </c>
      <c r="AA15" s="6">
        <v>700</v>
      </c>
      <c r="AB15" s="6">
        <v>361</v>
      </c>
      <c r="AC15" s="6">
        <v>2672</v>
      </c>
      <c r="AJ15" s="1"/>
      <c r="AM15" s="2"/>
    </row>
    <row r="16" spans="2:39" ht="20.399999999999999" x14ac:dyDescent="0.35">
      <c r="B16" s="6" t="s">
        <v>12</v>
      </c>
      <c r="C16" s="6">
        <v>36366570</v>
      </c>
      <c r="G16" s="6" t="s">
        <v>48</v>
      </c>
      <c r="H16" s="6">
        <v>1023</v>
      </c>
      <c r="I16" s="6">
        <v>581</v>
      </c>
      <c r="J16" s="6">
        <v>226</v>
      </c>
      <c r="K16" s="6">
        <f t="shared" si="0"/>
        <v>1830</v>
      </c>
      <c r="R16" s="32" t="s">
        <v>58</v>
      </c>
      <c r="S16">
        <f>SUM(S4:S15)</f>
        <v>119407</v>
      </c>
      <c r="T16">
        <f t="shared" ref="T16:V16" si="1">SUM(T4:T15)</f>
        <v>27622</v>
      </c>
      <c r="U16">
        <f t="shared" si="1"/>
        <v>107925</v>
      </c>
      <c r="V16">
        <f t="shared" si="1"/>
        <v>252384</v>
      </c>
      <c r="Y16" s="4"/>
      <c r="AJ16" s="1"/>
      <c r="AM16" s="2"/>
    </row>
    <row r="17" spans="2:39" ht="20.399999999999999" x14ac:dyDescent="0.35">
      <c r="B17" s="6" t="s">
        <v>13</v>
      </c>
      <c r="C17" s="6">
        <v>33387677</v>
      </c>
      <c r="G17" s="6" t="s">
        <v>49</v>
      </c>
      <c r="H17" s="6">
        <v>1172</v>
      </c>
      <c r="I17" s="6">
        <v>610</v>
      </c>
      <c r="J17" s="6">
        <v>202</v>
      </c>
      <c r="K17" s="6">
        <f t="shared" si="0"/>
        <v>1984</v>
      </c>
      <c r="Y17" s="4"/>
      <c r="AJ17" s="1"/>
      <c r="AM17" s="2"/>
    </row>
    <row r="18" spans="2:39" ht="20.399999999999999" x14ac:dyDescent="0.35">
      <c r="B18" s="6" t="s">
        <v>14</v>
      </c>
      <c r="C18" s="6">
        <v>32965818</v>
      </c>
      <c r="G18" s="6" t="s">
        <v>50</v>
      </c>
      <c r="H18" s="6">
        <v>1035</v>
      </c>
      <c r="I18" s="6">
        <v>531</v>
      </c>
      <c r="J18" s="6">
        <v>225</v>
      </c>
      <c r="K18" s="6">
        <f t="shared" si="0"/>
        <v>1791</v>
      </c>
      <c r="Y18" s="4"/>
      <c r="AJ18" s="1"/>
      <c r="AM18" s="2"/>
    </row>
    <row r="19" spans="2:39" ht="20.399999999999999" x14ac:dyDescent="0.35">
      <c r="B19" s="6" t="s">
        <v>15</v>
      </c>
      <c r="C19" s="6">
        <v>30940627</v>
      </c>
      <c r="G19" s="6" t="s">
        <v>51</v>
      </c>
      <c r="H19" s="6">
        <v>1170</v>
      </c>
      <c r="I19" s="6">
        <v>591</v>
      </c>
      <c r="J19" s="6">
        <v>220</v>
      </c>
      <c r="K19" s="6">
        <f t="shared" si="0"/>
        <v>1981</v>
      </c>
      <c r="Y19" s="4"/>
      <c r="AJ19" s="1"/>
      <c r="AM19" s="2"/>
    </row>
    <row r="20" spans="2:39" ht="20.399999999999999" x14ac:dyDescent="0.35">
      <c r="B20" s="6" t="s">
        <v>16</v>
      </c>
      <c r="C20" s="6">
        <v>28203067</v>
      </c>
      <c r="G20" s="6" t="s">
        <v>52</v>
      </c>
      <c r="H20" s="6">
        <v>1155</v>
      </c>
      <c r="I20" s="6">
        <v>507</v>
      </c>
      <c r="J20" s="6">
        <v>215</v>
      </c>
      <c r="K20" s="6">
        <f t="shared" si="0"/>
        <v>1877</v>
      </c>
      <c r="Y20" s="4"/>
      <c r="AJ20" s="1"/>
      <c r="AM20" s="2"/>
    </row>
    <row r="21" spans="2:39" ht="20.399999999999999" x14ac:dyDescent="0.35">
      <c r="B21" s="6" t="s">
        <v>17</v>
      </c>
      <c r="C21" s="6">
        <v>25855357</v>
      </c>
      <c r="G21" s="6" t="s">
        <v>53</v>
      </c>
      <c r="H21" s="6">
        <v>1021</v>
      </c>
      <c r="I21" s="6">
        <v>632</v>
      </c>
      <c r="J21" s="6">
        <v>270</v>
      </c>
      <c r="K21" s="6">
        <f t="shared" si="0"/>
        <v>1923</v>
      </c>
      <c r="Y21" s="4"/>
      <c r="AJ21" s="1"/>
      <c r="AM21" s="2"/>
    </row>
    <row r="22" spans="2:39" ht="20.399999999999999" x14ac:dyDescent="0.35">
      <c r="B22" s="6" t="s">
        <v>18</v>
      </c>
      <c r="C22" s="6">
        <v>18288577</v>
      </c>
      <c r="Y22" s="4"/>
      <c r="AJ22" s="1"/>
      <c r="AM22" s="2"/>
    </row>
    <row r="23" spans="2:39" ht="20.399999999999999" x14ac:dyDescent="0.35">
      <c r="B23" s="6" t="s">
        <v>19</v>
      </c>
      <c r="C23" s="6">
        <v>12258093</v>
      </c>
      <c r="Y23" s="4"/>
      <c r="AJ23" s="1"/>
      <c r="AM23" s="2"/>
    </row>
    <row r="24" spans="2:39" ht="20.399999999999999" x14ac:dyDescent="0.35">
      <c r="B24" s="6" t="s">
        <v>20</v>
      </c>
      <c r="C24" s="6">
        <v>10116752</v>
      </c>
      <c r="Y24" s="4"/>
      <c r="AJ24" s="1"/>
      <c r="AM24" s="2"/>
    </row>
    <row r="25" spans="2:39" ht="20.399999999999999" x14ac:dyDescent="0.35">
      <c r="B25" s="6" t="s">
        <v>21</v>
      </c>
      <c r="C25" s="6">
        <v>6856509</v>
      </c>
      <c r="Y25" s="4"/>
      <c r="AJ25" s="1"/>
      <c r="AM25" s="2"/>
    </row>
    <row r="26" spans="2:39" ht="20.399999999999999" x14ac:dyDescent="0.35">
      <c r="B26" s="6" t="s">
        <v>22</v>
      </c>
      <c r="C26" s="6">
        <v>3671032</v>
      </c>
      <c r="Y26" s="4"/>
      <c r="AJ26" s="1"/>
      <c r="AM26" s="2"/>
    </row>
    <row r="27" spans="2:39" ht="20.399999999999999" x14ac:dyDescent="0.35">
      <c r="B27" s="6" t="s">
        <v>23</v>
      </c>
      <c r="C27" s="6">
        <v>3496366</v>
      </c>
      <c r="Y27" s="4"/>
      <c r="AJ27" s="1"/>
      <c r="AM27" s="2"/>
    </row>
    <row r="28" spans="2:39" ht="20.399999999999999" x14ac:dyDescent="0.35">
      <c r="B28" s="6" t="s">
        <v>24</v>
      </c>
      <c r="C28" s="6">
        <v>3246575</v>
      </c>
      <c r="Y28" s="4"/>
      <c r="AJ28" s="1"/>
      <c r="AM28" s="2"/>
    </row>
    <row r="29" spans="2:39" ht="20.399999999999999" x14ac:dyDescent="0.35">
      <c r="B29" s="6" t="s">
        <v>25</v>
      </c>
      <c r="C29" s="6">
        <v>2570303</v>
      </c>
      <c r="Y29" s="4"/>
      <c r="AJ29" s="1"/>
      <c r="AM29" s="2"/>
    </row>
    <row r="30" spans="2:39" ht="20.399999999999999" x14ac:dyDescent="0.35">
      <c r="B30" s="6" t="s">
        <v>26</v>
      </c>
      <c r="C30" s="6">
        <v>1457723</v>
      </c>
      <c r="Y30" s="4"/>
      <c r="AJ30" s="1"/>
      <c r="AM30" s="2"/>
    </row>
    <row r="31" spans="2:39" ht="20.399999999999999" x14ac:dyDescent="0.35">
      <c r="B31" s="6" t="s">
        <v>27</v>
      </c>
      <c r="C31" s="6">
        <v>1119482</v>
      </c>
      <c r="Y31" s="4"/>
      <c r="AJ31" s="1"/>
      <c r="AM31" s="2"/>
    </row>
    <row r="32" spans="2:39" ht="20.399999999999999" x14ac:dyDescent="0.35">
      <c r="B32" s="6" t="s">
        <v>28</v>
      </c>
      <c r="C32" s="6">
        <v>1055450</v>
      </c>
      <c r="Y32" s="4"/>
      <c r="AJ32" s="1"/>
      <c r="AM32" s="2"/>
    </row>
    <row r="33" spans="2:39" ht="20.399999999999999" x14ac:dyDescent="0.35">
      <c r="B33" s="6" t="s">
        <v>29</v>
      </c>
      <c r="C33" s="6">
        <v>747031</v>
      </c>
      <c r="Y33" s="4"/>
      <c r="AJ33" s="1"/>
      <c r="AM33" s="2"/>
    </row>
    <row r="34" spans="2:39" ht="20.399999999999999" x14ac:dyDescent="0.35">
      <c r="B34" s="6" t="s">
        <v>30</v>
      </c>
      <c r="C34" s="6">
        <v>380581</v>
      </c>
      <c r="Y34" s="4"/>
      <c r="AJ34" s="1"/>
      <c r="AM34" s="2"/>
    </row>
    <row r="35" spans="2:39" ht="20.399999999999999" x14ac:dyDescent="0.35">
      <c r="B35" s="6" t="s">
        <v>31</v>
      </c>
      <c r="C35" s="6">
        <v>343709</v>
      </c>
      <c r="Y35" s="4"/>
      <c r="AJ35" s="1"/>
      <c r="AM35" s="2"/>
    </row>
    <row r="36" spans="2:39" ht="20.399999999999999" x14ac:dyDescent="0.35">
      <c r="B36" s="6" t="s">
        <v>32</v>
      </c>
      <c r="C36" s="6">
        <v>276875</v>
      </c>
      <c r="Y36" s="4"/>
      <c r="AJ36" s="1"/>
      <c r="AM36" s="2"/>
    </row>
    <row r="37" spans="2:39" ht="20.399999999999999" x14ac:dyDescent="0.35">
      <c r="Y37" s="4"/>
      <c r="AJ37" s="1"/>
      <c r="AM37" s="2"/>
    </row>
    <row r="38" spans="2:39" ht="20.399999999999999" x14ac:dyDescent="0.35">
      <c r="Y38" s="4"/>
      <c r="AJ38" s="1"/>
      <c r="AM38" s="2"/>
    </row>
    <row r="39" spans="2:39" ht="20.399999999999999" x14ac:dyDescent="0.35">
      <c r="Y39" s="4"/>
      <c r="AJ39" s="1"/>
      <c r="AM39" s="2"/>
    </row>
    <row r="40" spans="2:39" ht="20.399999999999999" x14ac:dyDescent="0.35">
      <c r="Y40" s="4"/>
      <c r="AJ40" s="1"/>
      <c r="AM40" s="2"/>
    </row>
    <row r="41" spans="2:39" ht="20.399999999999999" x14ac:dyDescent="0.35">
      <c r="Y41" s="4"/>
      <c r="AJ41" s="1"/>
      <c r="AM41" s="2"/>
    </row>
    <row r="42" spans="2:39" ht="20.399999999999999" x14ac:dyDescent="0.35">
      <c r="Y42" s="4"/>
      <c r="AJ42" s="1"/>
      <c r="AM42" s="2"/>
    </row>
    <row r="43" spans="2:39" ht="20.399999999999999" x14ac:dyDescent="0.35">
      <c r="Y43" s="4"/>
      <c r="AJ43" s="1"/>
      <c r="AM43" s="2"/>
    </row>
    <row r="44" spans="2:39" ht="20.399999999999999" x14ac:dyDescent="0.35">
      <c r="Y44" s="4"/>
      <c r="AJ44" s="1"/>
      <c r="AM44" s="2"/>
    </row>
    <row r="45" spans="2:39" ht="20.399999999999999" x14ac:dyDescent="0.35">
      <c r="Y45" s="4"/>
      <c r="AJ45" s="1"/>
      <c r="AM45" s="2"/>
    </row>
    <row r="46" spans="2:39" ht="20.399999999999999" x14ac:dyDescent="0.35">
      <c r="Y46" s="4"/>
      <c r="AJ46" s="1"/>
      <c r="AM46" s="2"/>
    </row>
    <row r="47" spans="2:39" ht="20.399999999999999" x14ac:dyDescent="0.35">
      <c r="Y47" s="4"/>
      <c r="AJ47" s="1"/>
      <c r="AM47" s="2"/>
    </row>
    <row r="48" spans="2:39" ht="20.399999999999999" x14ac:dyDescent="0.35">
      <c r="Y48" s="4"/>
      <c r="AJ48" s="1"/>
      <c r="AM48" s="2"/>
    </row>
    <row r="49" spans="25:39" ht="20.399999999999999" x14ac:dyDescent="0.35">
      <c r="Y49" s="4"/>
      <c r="AJ49" s="1"/>
      <c r="AM49" s="2"/>
    </row>
    <row r="50" spans="25:39" ht="20.399999999999999" x14ac:dyDescent="0.35">
      <c r="Y50" s="4"/>
      <c r="AJ50" s="1"/>
      <c r="AM50" s="2"/>
    </row>
    <row r="51" spans="25:39" ht="20.399999999999999" x14ac:dyDescent="0.35">
      <c r="Y51" s="4"/>
      <c r="AJ51" s="1"/>
      <c r="AM51" s="2"/>
    </row>
    <row r="52" spans="25:39" ht="20.399999999999999" x14ac:dyDescent="0.35">
      <c r="Y52" s="4"/>
      <c r="AJ52" s="1"/>
      <c r="AM52" s="2"/>
    </row>
    <row r="53" spans="25:39" ht="20.399999999999999" x14ac:dyDescent="0.35">
      <c r="Y53" s="4"/>
      <c r="AJ53" s="1"/>
      <c r="AM53" s="2"/>
    </row>
    <row r="54" spans="25:39" ht="20.399999999999999" x14ac:dyDescent="0.35">
      <c r="AJ54" s="1"/>
      <c r="AM54" s="2"/>
    </row>
    <row r="55" spans="25:39" ht="20.399999999999999" x14ac:dyDescent="0.35">
      <c r="AJ55" s="1"/>
      <c r="AM55" s="2"/>
    </row>
    <row r="56" spans="25:39" ht="20.399999999999999" x14ac:dyDescent="0.35">
      <c r="AJ56" s="1"/>
      <c r="AM56" s="2"/>
    </row>
    <row r="57" spans="25:39" ht="20.399999999999999" x14ac:dyDescent="0.35">
      <c r="AJ57" s="1"/>
      <c r="AM57" s="2"/>
    </row>
    <row r="58" spans="25:39" ht="20.399999999999999" x14ac:dyDescent="0.35">
      <c r="AJ58" s="1"/>
      <c r="AM58" s="2"/>
    </row>
    <row r="59" spans="25:39" ht="20.399999999999999" x14ac:dyDescent="0.35">
      <c r="AJ59" s="1"/>
      <c r="AM59" s="2"/>
    </row>
    <row r="60" spans="25:39" ht="20.399999999999999" x14ac:dyDescent="0.35">
      <c r="AJ60" s="1"/>
      <c r="AM60" s="2"/>
    </row>
    <row r="61" spans="25:39" ht="20.399999999999999" x14ac:dyDescent="0.35">
      <c r="AJ61" s="1"/>
      <c r="AM61" s="2"/>
    </row>
    <row r="62" spans="25:39" ht="20.399999999999999" x14ac:dyDescent="0.35">
      <c r="AJ62" s="1"/>
      <c r="AM62" s="2"/>
    </row>
    <row r="63" spans="25:39" ht="20.399999999999999" x14ac:dyDescent="0.35">
      <c r="AJ63" s="1"/>
      <c r="AM63" s="2"/>
    </row>
    <row r="64" spans="25:39" ht="20.399999999999999" x14ac:dyDescent="0.35">
      <c r="AJ64" s="1"/>
      <c r="AM64" s="2"/>
    </row>
    <row r="65" spans="36:39" ht="20.399999999999999" x14ac:dyDescent="0.35">
      <c r="AJ65" s="1"/>
      <c r="AM65" s="2"/>
    </row>
    <row r="66" spans="36:39" ht="20.399999999999999" x14ac:dyDescent="0.35">
      <c r="AJ66" s="1"/>
      <c r="AM66" s="2"/>
    </row>
    <row r="67" spans="36:39" ht="20.399999999999999" x14ac:dyDescent="0.35">
      <c r="AJ67" s="1"/>
      <c r="AM67" s="2"/>
    </row>
    <row r="68" spans="36:39" ht="20.399999999999999" x14ac:dyDescent="0.35">
      <c r="AJ68" s="1"/>
      <c r="AM68" s="2"/>
    </row>
    <row r="69" spans="36:39" ht="20.399999999999999" x14ac:dyDescent="0.35">
      <c r="AJ69" s="1"/>
      <c r="AM69" s="2"/>
    </row>
    <row r="70" spans="36:39" ht="20.399999999999999" x14ac:dyDescent="0.35">
      <c r="AJ70" s="1"/>
      <c r="AM70" s="2"/>
    </row>
    <row r="71" spans="36:39" ht="20.399999999999999" x14ac:dyDescent="0.35">
      <c r="AJ71" s="1"/>
      <c r="AM71" s="2"/>
    </row>
    <row r="72" spans="36:39" ht="20.399999999999999" x14ac:dyDescent="0.35">
      <c r="AJ72" s="1"/>
      <c r="AM72" s="2"/>
    </row>
    <row r="73" spans="36:39" ht="20.399999999999999" x14ac:dyDescent="0.35">
      <c r="AJ73" s="1"/>
      <c r="AM73" s="2"/>
    </row>
    <row r="74" spans="36:39" ht="20.399999999999999" x14ac:dyDescent="0.35">
      <c r="AJ74" s="1"/>
      <c r="AM74" s="2"/>
    </row>
    <row r="75" spans="36:39" ht="20.399999999999999" x14ac:dyDescent="0.35">
      <c r="AJ75" s="1"/>
      <c r="AM75" s="2"/>
    </row>
    <row r="76" spans="36:39" ht="20.399999999999999" x14ac:dyDescent="0.35">
      <c r="AJ76" s="1"/>
      <c r="AM76" s="2"/>
    </row>
    <row r="77" spans="36:39" ht="20.399999999999999" x14ac:dyDescent="0.35">
      <c r="AJ77" s="1"/>
      <c r="AM77" s="2"/>
    </row>
    <row r="78" spans="36:39" ht="20.399999999999999" x14ac:dyDescent="0.35">
      <c r="AJ78" s="1"/>
      <c r="AM78" s="2"/>
    </row>
    <row r="79" spans="36:39" ht="20.399999999999999" x14ac:dyDescent="0.35">
      <c r="AJ79" s="1"/>
      <c r="AM79" s="2"/>
    </row>
    <row r="80" spans="36:39" ht="20.399999999999999" x14ac:dyDescent="0.35">
      <c r="AJ80" s="1"/>
      <c r="AM80" s="2"/>
    </row>
    <row r="81" spans="36:39" ht="20.399999999999999" x14ac:dyDescent="0.35">
      <c r="AJ81" s="1"/>
      <c r="AM81" s="2"/>
    </row>
    <row r="82" spans="36:39" ht="20.399999999999999" x14ac:dyDescent="0.35">
      <c r="AJ82" s="1"/>
      <c r="AM82" s="2"/>
    </row>
    <row r="83" spans="36:39" ht="20.399999999999999" x14ac:dyDescent="0.35">
      <c r="AJ83" s="1"/>
      <c r="AM83" s="2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94EEA-E42A-1649-9B22-CD30753A4265}">
  <dimension ref="C3:J99"/>
  <sheetViews>
    <sheetView topLeftCell="A10" zoomScale="90" zoomScaleNormal="90" workbookViewId="0">
      <selection activeCell="C32" sqref="C32:D35"/>
    </sheetView>
  </sheetViews>
  <sheetFormatPr defaultColWidth="11.19921875" defaultRowHeight="15.6" x14ac:dyDescent="0.3"/>
  <cols>
    <col min="3" max="3" width="21.69921875" customWidth="1"/>
    <col min="4" max="4" width="13" bestFit="1" customWidth="1"/>
    <col min="8" max="8" width="46.69921875" bestFit="1" customWidth="1"/>
    <col min="9" max="10" width="11.69921875" bestFit="1" customWidth="1"/>
  </cols>
  <sheetData>
    <row r="3" spans="3:10" ht="23.4" x14ac:dyDescent="0.45">
      <c r="C3" s="12" t="s">
        <v>108</v>
      </c>
    </row>
    <row r="4" spans="3:10" x14ac:dyDescent="0.3">
      <c r="C4" s="13" t="s">
        <v>78</v>
      </c>
      <c r="D4" s="13" t="s">
        <v>79</v>
      </c>
      <c r="E4" s="13" t="s">
        <v>80</v>
      </c>
      <c r="F4" s="13" t="s">
        <v>81</v>
      </c>
    </row>
    <row r="5" spans="3:10" x14ac:dyDescent="0.3">
      <c r="C5" s="6">
        <v>17003</v>
      </c>
      <c r="D5" s="6">
        <v>8520</v>
      </c>
      <c r="E5" s="6">
        <v>4388</v>
      </c>
      <c r="F5" s="6">
        <v>30006</v>
      </c>
    </row>
    <row r="9" spans="3:10" ht="23.4" x14ac:dyDescent="0.45">
      <c r="C9" s="12" t="s">
        <v>109</v>
      </c>
      <c r="I9" s="5"/>
    </row>
    <row r="10" spans="3:10" x14ac:dyDescent="0.3">
      <c r="C10" s="15" t="s">
        <v>73</v>
      </c>
      <c r="D10" s="15" t="s">
        <v>74</v>
      </c>
      <c r="E10" s="15" t="s">
        <v>75</v>
      </c>
      <c r="F10" s="15" t="s">
        <v>76</v>
      </c>
      <c r="I10" s="5"/>
    </row>
    <row r="11" spans="3:10" x14ac:dyDescent="0.3">
      <c r="C11" s="6">
        <v>119407</v>
      </c>
      <c r="D11" s="6">
        <v>27622</v>
      </c>
      <c r="E11" s="6">
        <v>107925</v>
      </c>
      <c r="F11" s="6">
        <v>252384</v>
      </c>
      <c r="I11" s="5"/>
    </row>
    <row r="12" spans="3:10" x14ac:dyDescent="0.3">
      <c r="I12" s="5"/>
    </row>
    <row r="13" spans="3:10" x14ac:dyDescent="0.3">
      <c r="I13" s="5"/>
    </row>
    <row r="14" spans="3:10" x14ac:dyDescent="0.3">
      <c r="I14" s="5"/>
      <c r="J14" s="5"/>
    </row>
    <row r="15" spans="3:10" ht="23.4" x14ac:dyDescent="0.45">
      <c r="C15" s="12" t="s">
        <v>110</v>
      </c>
      <c r="I15" s="5"/>
    </row>
    <row r="16" spans="3:10" x14ac:dyDescent="0.3">
      <c r="C16" s="11" t="s">
        <v>83</v>
      </c>
      <c r="D16" s="11" t="s">
        <v>84</v>
      </c>
      <c r="I16" s="5"/>
    </row>
    <row r="17" spans="3:10" x14ac:dyDescent="0.3">
      <c r="C17" s="6" t="s">
        <v>85</v>
      </c>
      <c r="D17" s="6">
        <v>229076879</v>
      </c>
      <c r="I17" s="5"/>
    </row>
    <row r="18" spans="3:10" x14ac:dyDescent="0.3">
      <c r="C18" s="6" t="s">
        <v>86</v>
      </c>
      <c r="D18" s="6">
        <v>119495214</v>
      </c>
      <c r="I18" s="5"/>
    </row>
    <row r="19" spans="3:10" x14ac:dyDescent="0.3">
      <c r="C19" s="6" t="s">
        <v>87</v>
      </c>
      <c r="D19" s="6">
        <v>24929330</v>
      </c>
      <c r="I19" s="5"/>
      <c r="J19" s="5"/>
    </row>
    <row r="20" spans="3:10" x14ac:dyDescent="0.3">
      <c r="C20" s="6" t="s">
        <v>88</v>
      </c>
      <c r="D20" s="6">
        <v>22246501</v>
      </c>
      <c r="I20" s="5"/>
    </row>
    <row r="21" spans="3:10" x14ac:dyDescent="0.3">
      <c r="C21" s="6" t="s">
        <v>89</v>
      </c>
      <c r="D21" s="6">
        <v>15647206</v>
      </c>
      <c r="I21" s="5"/>
    </row>
    <row r="22" spans="3:10" x14ac:dyDescent="0.3">
      <c r="C22" s="6" t="s">
        <v>90</v>
      </c>
      <c r="D22" s="6">
        <v>15537006</v>
      </c>
      <c r="I22" s="5"/>
    </row>
    <row r="23" spans="3:10" x14ac:dyDescent="0.3">
      <c r="C23" s="6" t="s">
        <v>91</v>
      </c>
      <c r="D23" s="6">
        <v>14363332</v>
      </c>
      <c r="I23" s="5"/>
    </row>
    <row r="24" spans="3:10" x14ac:dyDescent="0.3">
      <c r="C24" s="6" t="s">
        <v>92</v>
      </c>
      <c r="D24" s="6">
        <v>12858904</v>
      </c>
      <c r="I24" s="5"/>
    </row>
    <row r="25" spans="3:10" x14ac:dyDescent="0.3">
      <c r="C25" s="6" t="s">
        <v>93</v>
      </c>
      <c r="D25" s="6">
        <v>12515345</v>
      </c>
      <c r="I25" s="5"/>
    </row>
    <row r="26" spans="3:10" x14ac:dyDescent="0.3">
      <c r="C26" s="6" t="s">
        <v>94</v>
      </c>
      <c r="D26" s="6">
        <v>10744908</v>
      </c>
      <c r="I26" s="5"/>
    </row>
    <row r="27" spans="3:10" x14ac:dyDescent="0.3">
      <c r="C27" s="6" t="s">
        <v>95</v>
      </c>
      <c r="D27" s="6">
        <v>136758198</v>
      </c>
      <c r="I27" s="5"/>
    </row>
    <row r="28" spans="3:10" x14ac:dyDescent="0.3">
      <c r="I28" s="5"/>
    </row>
    <row r="29" spans="3:10" x14ac:dyDescent="0.3">
      <c r="I29" s="5"/>
    </row>
    <row r="30" spans="3:10" x14ac:dyDescent="0.3">
      <c r="I30" s="5"/>
    </row>
    <row r="31" spans="3:10" ht="23.4" x14ac:dyDescent="0.45">
      <c r="C31" s="12" t="s">
        <v>111</v>
      </c>
      <c r="I31" s="5"/>
    </row>
    <row r="32" spans="3:10" x14ac:dyDescent="0.3">
      <c r="C32" s="16" t="s">
        <v>96</v>
      </c>
      <c r="D32" s="16" t="s">
        <v>100</v>
      </c>
      <c r="I32" s="5"/>
    </row>
    <row r="33" spans="3:9" x14ac:dyDescent="0.3">
      <c r="C33" s="6" t="s">
        <v>97</v>
      </c>
      <c r="D33" s="6">
        <v>124</v>
      </c>
      <c r="I33" s="5"/>
    </row>
    <row r="34" spans="3:9" x14ac:dyDescent="0.3">
      <c r="C34" s="6" t="s">
        <v>98</v>
      </c>
      <c r="D34" s="6">
        <v>520</v>
      </c>
      <c r="I34" s="5"/>
    </row>
    <row r="35" spans="3:9" x14ac:dyDescent="0.3">
      <c r="C35" s="6" t="s">
        <v>99</v>
      </c>
      <c r="D35" s="6">
        <v>230</v>
      </c>
      <c r="I35" s="5"/>
    </row>
    <row r="36" spans="3:9" x14ac:dyDescent="0.3">
      <c r="I36" s="5"/>
    </row>
    <row r="37" spans="3:9" x14ac:dyDescent="0.3">
      <c r="I37" s="5"/>
    </row>
    <row r="38" spans="3:9" x14ac:dyDescent="0.3">
      <c r="I38" s="5"/>
    </row>
    <row r="39" spans="3:9" x14ac:dyDescent="0.3">
      <c r="I39" s="5"/>
    </row>
    <row r="40" spans="3:9" x14ac:dyDescent="0.3">
      <c r="I40" s="5"/>
    </row>
    <row r="41" spans="3:9" x14ac:dyDescent="0.3">
      <c r="I41" s="5"/>
    </row>
    <row r="42" spans="3:9" x14ac:dyDescent="0.3">
      <c r="I42" s="5"/>
    </row>
    <row r="43" spans="3:9" x14ac:dyDescent="0.3">
      <c r="I43" s="5"/>
    </row>
    <row r="44" spans="3:9" x14ac:dyDescent="0.3">
      <c r="I44" s="5"/>
    </row>
    <row r="45" spans="3:9" x14ac:dyDescent="0.3">
      <c r="I45" s="5"/>
    </row>
    <row r="46" spans="3:9" x14ac:dyDescent="0.3">
      <c r="I46" s="5"/>
    </row>
    <row r="47" spans="3:9" x14ac:dyDescent="0.3">
      <c r="I47" s="5"/>
    </row>
    <row r="48" spans="3:9" x14ac:dyDescent="0.3">
      <c r="I48" s="5"/>
    </row>
    <row r="49" spans="9:9" x14ac:dyDescent="0.3">
      <c r="I49" s="5"/>
    </row>
    <row r="50" spans="9:9" x14ac:dyDescent="0.3">
      <c r="I50" s="5"/>
    </row>
    <row r="51" spans="9:9" x14ac:dyDescent="0.3">
      <c r="I51" s="5"/>
    </row>
    <row r="52" spans="9:9" x14ac:dyDescent="0.3">
      <c r="I52" s="5"/>
    </row>
    <row r="53" spans="9:9" x14ac:dyDescent="0.3">
      <c r="I53" s="5"/>
    </row>
    <row r="54" spans="9:9" x14ac:dyDescent="0.3">
      <c r="I54" s="5"/>
    </row>
    <row r="55" spans="9:9" x14ac:dyDescent="0.3">
      <c r="I55" s="5"/>
    </row>
    <row r="56" spans="9:9" x14ac:dyDescent="0.3">
      <c r="I56" s="5"/>
    </row>
    <row r="57" spans="9:9" x14ac:dyDescent="0.3">
      <c r="I57" s="5"/>
    </row>
    <row r="58" spans="9:9" x14ac:dyDescent="0.3">
      <c r="I58" s="5"/>
    </row>
    <row r="59" spans="9:9" x14ac:dyDescent="0.3">
      <c r="I59" s="5"/>
    </row>
    <row r="60" spans="9:9" x14ac:dyDescent="0.3">
      <c r="I60" s="5"/>
    </row>
    <row r="61" spans="9:9" x14ac:dyDescent="0.3">
      <c r="I61" s="5"/>
    </row>
    <row r="62" spans="9:9" x14ac:dyDescent="0.3">
      <c r="I62" s="5"/>
    </row>
    <row r="63" spans="9:9" x14ac:dyDescent="0.3">
      <c r="I63" s="5"/>
    </row>
    <row r="64" spans="9:9" x14ac:dyDescent="0.3">
      <c r="I64" s="5"/>
    </row>
    <row r="65" spans="9:9" x14ac:dyDescent="0.3">
      <c r="I65" s="5"/>
    </row>
    <row r="66" spans="9:9" x14ac:dyDescent="0.3">
      <c r="I66" s="5"/>
    </row>
    <row r="67" spans="9:9" x14ac:dyDescent="0.3">
      <c r="I67" s="5"/>
    </row>
    <row r="68" spans="9:9" x14ac:dyDescent="0.3">
      <c r="I68" s="5"/>
    </row>
    <row r="69" spans="9:9" x14ac:dyDescent="0.3">
      <c r="I69" s="5"/>
    </row>
    <row r="70" spans="9:9" x14ac:dyDescent="0.3">
      <c r="I70" s="5"/>
    </row>
    <row r="71" spans="9:9" x14ac:dyDescent="0.3">
      <c r="I71" s="5"/>
    </row>
    <row r="72" spans="9:9" x14ac:dyDescent="0.3">
      <c r="I72" s="5"/>
    </row>
    <row r="73" spans="9:9" x14ac:dyDescent="0.3">
      <c r="I73" s="5"/>
    </row>
    <row r="74" spans="9:9" x14ac:dyDescent="0.3">
      <c r="I74" s="5"/>
    </row>
    <row r="75" spans="9:9" x14ac:dyDescent="0.3">
      <c r="I75" s="5"/>
    </row>
    <row r="76" spans="9:9" x14ac:dyDescent="0.3">
      <c r="I76" s="5"/>
    </row>
    <row r="77" spans="9:9" x14ac:dyDescent="0.3">
      <c r="I77" s="5"/>
    </row>
    <row r="78" spans="9:9" x14ac:dyDescent="0.3">
      <c r="I78" s="5"/>
    </row>
    <row r="79" spans="9:9" x14ac:dyDescent="0.3">
      <c r="I79" s="5"/>
    </row>
    <row r="80" spans="9:9" x14ac:dyDescent="0.3">
      <c r="I80" s="5"/>
    </row>
    <row r="81" spans="9:9" x14ac:dyDescent="0.3">
      <c r="I81" s="5"/>
    </row>
    <row r="82" spans="9:9" x14ac:dyDescent="0.3">
      <c r="I82" s="5"/>
    </row>
    <row r="83" spans="9:9" x14ac:dyDescent="0.3">
      <c r="I83" s="5"/>
    </row>
    <row r="84" spans="9:9" x14ac:dyDescent="0.3">
      <c r="I84" s="5"/>
    </row>
    <row r="85" spans="9:9" x14ac:dyDescent="0.3">
      <c r="I85" s="5"/>
    </row>
    <row r="86" spans="9:9" x14ac:dyDescent="0.3">
      <c r="I86" s="5"/>
    </row>
    <row r="87" spans="9:9" x14ac:dyDescent="0.3">
      <c r="I87" s="5"/>
    </row>
    <row r="88" spans="9:9" x14ac:dyDescent="0.3">
      <c r="I88" s="5"/>
    </row>
    <row r="89" spans="9:9" x14ac:dyDescent="0.3">
      <c r="I89" s="5"/>
    </row>
    <row r="90" spans="9:9" x14ac:dyDescent="0.3">
      <c r="I90" s="5"/>
    </row>
    <row r="91" spans="9:9" x14ac:dyDescent="0.3">
      <c r="I91" s="5"/>
    </row>
    <row r="92" spans="9:9" x14ac:dyDescent="0.3">
      <c r="I92" s="5"/>
    </row>
    <row r="93" spans="9:9" x14ac:dyDescent="0.3">
      <c r="I93" s="5"/>
    </row>
    <row r="95" spans="9:9" x14ac:dyDescent="0.3">
      <c r="I95" s="5"/>
    </row>
    <row r="96" spans="9:9" x14ac:dyDescent="0.3">
      <c r="I96" s="5"/>
    </row>
    <row r="97" spans="9:9" x14ac:dyDescent="0.3">
      <c r="I97" s="5"/>
    </row>
    <row r="98" spans="9:9" x14ac:dyDescent="0.3">
      <c r="I98" s="5"/>
    </row>
    <row r="99" spans="9:9" x14ac:dyDescent="0.3">
      <c r="I99" s="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0BB11-1956-F44B-B058-A6C2B4F24471}">
  <dimension ref="B2:R44"/>
  <sheetViews>
    <sheetView topLeftCell="C1" zoomScale="90" zoomScaleNormal="90" workbookViewId="0">
      <selection activeCell="T19" sqref="T19"/>
    </sheetView>
  </sheetViews>
  <sheetFormatPr defaultColWidth="11.19921875" defaultRowHeight="15.6" x14ac:dyDescent="0.3"/>
  <cols>
    <col min="16" max="16" width="11.69921875" customWidth="1"/>
    <col min="17" max="17" width="8.19921875" bestFit="1" customWidth="1"/>
    <col min="18" max="18" width="13.5" bestFit="1" customWidth="1"/>
  </cols>
  <sheetData>
    <row r="2" spans="2:18" ht="24" thickBot="1" x14ac:dyDescent="0.5">
      <c r="B2" s="12" t="s">
        <v>112</v>
      </c>
      <c r="F2" s="12" t="s">
        <v>113</v>
      </c>
      <c r="K2" s="12" t="s">
        <v>114</v>
      </c>
      <c r="P2" s="12" t="s">
        <v>115</v>
      </c>
    </row>
    <row r="3" spans="2:18" x14ac:dyDescent="0.3">
      <c r="B3" s="17" t="s">
        <v>77</v>
      </c>
      <c r="C3" s="17" t="s">
        <v>82</v>
      </c>
      <c r="F3" s="23" t="s">
        <v>77</v>
      </c>
      <c r="G3" s="24" t="s">
        <v>82</v>
      </c>
      <c r="H3" s="25" t="s">
        <v>101</v>
      </c>
      <c r="K3" s="26" t="s">
        <v>77</v>
      </c>
      <c r="L3" s="26" t="s">
        <v>82</v>
      </c>
      <c r="M3" s="26" t="s">
        <v>102</v>
      </c>
      <c r="P3" s="27" t="s">
        <v>77</v>
      </c>
      <c r="Q3" s="27" t="s">
        <v>35</v>
      </c>
      <c r="R3" s="27" t="s">
        <v>103</v>
      </c>
    </row>
    <row r="4" spans="2:18" x14ac:dyDescent="0.3">
      <c r="B4" s="14">
        <v>43101</v>
      </c>
      <c r="C4" s="6">
        <v>2071</v>
      </c>
      <c r="F4" s="18" t="s">
        <v>61</v>
      </c>
      <c r="G4">
        <v>62730</v>
      </c>
      <c r="H4" s="19">
        <v>438</v>
      </c>
      <c r="K4" s="14" t="s">
        <v>61</v>
      </c>
      <c r="L4" s="6">
        <v>62730</v>
      </c>
      <c r="M4" s="28">
        <v>3.5200000000000002E-2</v>
      </c>
      <c r="P4" s="14" t="s">
        <v>61</v>
      </c>
      <c r="Q4" s="6">
        <v>1294138</v>
      </c>
      <c r="R4" s="6">
        <v>104057</v>
      </c>
    </row>
    <row r="5" spans="2:18" x14ac:dyDescent="0.3">
      <c r="B5" s="14">
        <v>43102</v>
      </c>
      <c r="C5" s="6">
        <v>2074</v>
      </c>
      <c r="F5" s="18" t="s">
        <v>62</v>
      </c>
      <c r="G5">
        <v>64620</v>
      </c>
      <c r="H5" s="19">
        <v>412</v>
      </c>
      <c r="K5" s="14" t="s">
        <v>62</v>
      </c>
      <c r="L5" s="6">
        <v>64620</v>
      </c>
      <c r="M5" s="28">
        <v>4.7800000000000002E-2</v>
      </c>
      <c r="P5" s="14" t="s">
        <v>62</v>
      </c>
      <c r="Q5" s="6">
        <v>1409663</v>
      </c>
      <c r="R5" s="6">
        <v>148384</v>
      </c>
    </row>
    <row r="6" spans="2:18" x14ac:dyDescent="0.3">
      <c r="B6" s="14">
        <v>43103</v>
      </c>
      <c r="C6" s="6">
        <v>2133</v>
      </c>
      <c r="F6" s="18" t="s">
        <v>63</v>
      </c>
      <c r="G6">
        <v>62010</v>
      </c>
      <c r="H6" s="19">
        <v>396</v>
      </c>
      <c r="K6" s="14" t="s">
        <v>63</v>
      </c>
      <c r="L6" s="6">
        <v>62010</v>
      </c>
      <c r="M6" s="28">
        <v>3.1800000000000002E-2</v>
      </c>
      <c r="P6" s="14" t="s">
        <v>63</v>
      </c>
      <c r="Q6" s="6">
        <v>1232520</v>
      </c>
      <c r="R6" s="6">
        <v>111642</v>
      </c>
    </row>
    <row r="7" spans="2:18" x14ac:dyDescent="0.3">
      <c r="B7" s="14">
        <v>43104</v>
      </c>
      <c r="C7" s="6">
        <v>2139</v>
      </c>
      <c r="F7" s="18" t="s">
        <v>64</v>
      </c>
      <c r="G7">
        <v>60030</v>
      </c>
      <c r="H7" s="19">
        <v>420</v>
      </c>
      <c r="K7" s="14" t="s">
        <v>64</v>
      </c>
      <c r="L7" s="6">
        <v>60030</v>
      </c>
      <c r="M7" s="28">
        <v>3.1399999999999997E-2</v>
      </c>
      <c r="P7" s="14" t="s">
        <v>64</v>
      </c>
      <c r="Q7" s="6">
        <v>1087439</v>
      </c>
      <c r="R7" s="6">
        <v>133834</v>
      </c>
    </row>
    <row r="8" spans="2:18" x14ac:dyDescent="0.3">
      <c r="B8" s="14">
        <v>43105</v>
      </c>
      <c r="C8" s="6">
        <v>2134</v>
      </c>
      <c r="F8" s="18" t="s">
        <v>65</v>
      </c>
      <c r="G8">
        <v>64560</v>
      </c>
      <c r="H8" s="19">
        <v>401</v>
      </c>
      <c r="K8" s="14" t="s">
        <v>65</v>
      </c>
      <c r="L8" s="6">
        <v>64560</v>
      </c>
      <c r="M8" s="28">
        <v>4.1300000000000003E-2</v>
      </c>
      <c r="P8" s="14" t="s">
        <v>65</v>
      </c>
      <c r="Q8" s="6">
        <v>1085880</v>
      </c>
      <c r="R8" s="6">
        <v>103128</v>
      </c>
    </row>
    <row r="9" spans="2:18" x14ac:dyDescent="0.3">
      <c r="B9" s="14">
        <v>43106</v>
      </c>
      <c r="C9" s="6">
        <v>2056</v>
      </c>
      <c r="F9" s="18" t="s">
        <v>66</v>
      </c>
      <c r="G9">
        <v>62370</v>
      </c>
      <c r="H9" s="19">
        <v>452</v>
      </c>
      <c r="K9" s="14" t="s">
        <v>66</v>
      </c>
      <c r="L9" s="6">
        <v>62370</v>
      </c>
      <c r="M9" s="28">
        <v>4.8000000000000001E-2</v>
      </c>
      <c r="P9" s="14" t="s">
        <v>66</v>
      </c>
      <c r="Q9" s="6">
        <v>1165347</v>
      </c>
      <c r="R9" s="6">
        <v>117452</v>
      </c>
    </row>
    <row r="10" spans="2:18" x14ac:dyDescent="0.3">
      <c r="B10" s="14">
        <v>43107</v>
      </c>
      <c r="C10" s="6">
        <v>2123</v>
      </c>
      <c r="F10" s="18" t="s">
        <v>67</v>
      </c>
      <c r="G10">
        <v>65520</v>
      </c>
      <c r="H10" s="19">
        <v>361</v>
      </c>
      <c r="K10" s="14" t="s">
        <v>67</v>
      </c>
      <c r="L10" s="6">
        <v>65520</v>
      </c>
      <c r="M10" s="28">
        <v>3.44E-2</v>
      </c>
      <c r="P10" s="14" t="s">
        <v>67</v>
      </c>
      <c r="Q10" s="6">
        <v>1390923</v>
      </c>
      <c r="R10" s="6">
        <v>111526</v>
      </c>
    </row>
    <row r="11" spans="2:18" x14ac:dyDescent="0.3">
      <c r="B11" s="14">
        <v>43108</v>
      </c>
      <c r="C11" s="6">
        <v>2075</v>
      </c>
      <c r="F11" s="18" t="s">
        <v>68</v>
      </c>
      <c r="G11">
        <v>63420</v>
      </c>
      <c r="H11" s="19">
        <v>492</v>
      </c>
      <c r="K11" s="14" t="s">
        <v>68</v>
      </c>
      <c r="L11" s="6">
        <v>63420</v>
      </c>
      <c r="M11" s="28">
        <v>3.5900000000000001E-2</v>
      </c>
      <c r="P11" s="14" t="s">
        <v>68</v>
      </c>
      <c r="Q11" s="6">
        <v>1004237</v>
      </c>
      <c r="R11" s="6">
        <v>117867</v>
      </c>
    </row>
    <row r="12" spans="2:18" x14ac:dyDescent="0.3">
      <c r="B12" s="14">
        <v>43109</v>
      </c>
      <c r="C12" s="6">
        <v>2186</v>
      </c>
      <c r="F12" s="18" t="s">
        <v>69</v>
      </c>
      <c r="G12">
        <v>60900</v>
      </c>
      <c r="H12" s="19">
        <v>454</v>
      </c>
      <c r="K12" s="14" t="s">
        <v>69</v>
      </c>
      <c r="L12" s="6">
        <v>60900</v>
      </c>
      <c r="M12" s="28">
        <v>3.3399999999999999E-2</v>
      </c>
      <c r="P12" s="14" t="s">
        <v>69</v>
      </c>
      <c r="Q12" s="6">
        <v>1165063</v>
      </c>
      <c r="R12" s="6">
        <v>130559</v>
      </c>
    </row>
    <row r="13" spans="2:18" x14ac:dyDescent="0.3">
      <c r="B13" s="14">
        <v>43110</v>
      </c>
      <c r="C13" s="6">
        <v>2109</v>
      </c>
      <c r="F13" s="18" t="s">
        <v>70</v>
      </c>
      <c r="G13">
        <v>65910</v>
      </c>
      <c r="H13" s="19">
        <v>377</v>
      </c>
      <c r="K13" s="14" t="s">
        <v>70</v>
      </c>
      <c r="L13" s="6">
        <v>65910</v>
      </c>
      <c r="M13" s="28">
        <v>4.5199999999999997E-2</v>
      </c>
      <c r="P13" s="14" t="s">
        <v>70</v>
      </c>
      <c r="Q13" s="6">
        <v>1469249</v>
      </c>
      <c r="R13" s="6">
        <v>146276</v>
      </c>
    </row>
    <row r="14" spans="2:18" x14ac:dyDescent="0.3">
      <c r="B14" s="14">
        <v>43111</v>
      </c>
      <c r="C14" s="6">
        <v>2090</v>
      </c>
      <c r="F14" s="18" t="s">
        <v>71</v>
      </c>
      <c r="G14">
        <v>60840</v>
      </c>
      <c r="H14" s="19">
        <v>395</v>
      </c>
      <c r="K14" s="14" t="s">
        <v>71</v>
      </c>
      <c r="L14" s="6">
        <v>60840</v>
      </c>
      <c r="M14" s="28">
        <v>3.5499999999999997E-2</v>
      </c>
      <c r="P14" s="14" t="s">
        <v>71</v>
      </c>
      <c r="Q14" s="6">
        <v>1150852</v>
      </c>
      <c r="R14" s="6">
        <v>147901</v>
      </c>
    </row>
    <row r="15" spans="2:18" ht="16.2" thickBot="1" x14ac:dyDescent="0.35">
      <c r="B15" s="14">
        <v>43112</v>
      </c>
      <c r="C15" s="6">
        <v>2006</v>
      </c>
      <c r="F15" s="20" t="s">
        <v>72</v>
      </c>
      <c r="G15" s="21">
        <v>60510</v>
      </c>
      <c r="H15" s="22">
        <v>381</v>
      </c>
      <c r="K15" s="14" t="s">
        <v>72</v>
      </c>
      <c r="L15" s="6">
        <v>60510</v>
      </c>
      <c r="M15" s="28">
        <v>4.3799999999999999E-2</v>
      </c>
      <c r="P15" s="14" t="s">
        <v>72</v>
      </c>
      <c r="Q15" s="6">
        <v>1264893</v>
      </c>
      <c r="R15" s="6">
        <v>124530</v>
      </c>
    </row>
    <row r="16" spans="2:18" x14ac:dyDescent="0.3">
      <c r="B16" s="14">
        <v>43113</v>
      </c>
      <c r="C16" s="6">
        <v>2053</v>
      </c>
      <c r="F16" s="4"/>
      <c r="M16" s="29"/>
    </row>
    <row r="17" spans="2:6" x14ac:dyDescent="0.3">
      <c r="B17" s="14">
        <v>43114</v>
      </c>
      <c r="C17" s="6">
        <v>2023</v>
      </c>
      <c r="F17" s="4"/>
    </row>
    <row r="18" spans="2:6" x14ac:dyDescent="0.3">
      <c r="B18" s="14">
        <v>43115</v>
      </c>
      <c r="C18" s="6">
        <v>2133</v>
      </c>
      <c r="F18" s="4"/>
    </row>
    <row r="19" spans="2:6" x14ac:dyDescent="0.3">
      <c r="B19" s="14">
        <v>43116</v>
      </c>
      <c r="C19" s="6">
        <v>2032</v>
      </c>
      <c r="F19" s="4"/>
    </row>
    <row r="20" spans="2:6" x14ac:dyDescent="0.3">
      <c r="B20" s="14">
        <v>43117</v>
      </c>
      <c r="C20" s="6">
        <v>2187</v>
      </c>
      <c r="F20" s="4"/>
    </row>
    <row r="21" spans="2:6" x14ac:dyDescent="0.3">
      <c r="B21" s="14">
        <v>43118</v>
      </c>
      <c r="C21" s="6">
        <v>2182</v>
      </c>
      <c r="F21" s="4"/>
    </row>
    <row r="22" spans="2:6" x14ac:dyDescent="0.3">
      <c r="B22" s="14">
        <v>43119</v>
      </c>
      <c r="C22" s="6">
        <v>2121</v>
      </c>
      <c r="F22" s="4"/>
    </row>
    <row r="23" spans="2:6" x14ac:dyDescent="0.3">
      <c r="B23" s="14">
        <v>43120</v>
      </c>
      <c r="C23" s="6">
        <v>2104</v>
      </c>
      <c r="F23" s="4"/>
    </row>
    <row r="24" spans="2:6" x14ac:dyDescent="0.3">
      <c r="B24" s="14">
        <v>43121</v>
      </c>
      <c r="C24" s="6">
        <v>2023</v>
      </c>
      <c r="F24" s="4"/>
    </row>
    <row r="25" spans="2:6" x14ac:dyDescent="0.3">
      <c r="B25" s="14">
        <v>43122</v>
      </c>
      <c r="C25" s="6">
        <v>2154</v>
      </c>
      <c r="F25" s="4"/>
    </row>
    <row r="26" spans="2:6" x14ac:dyDescent="0.3">
      <c r="B26" s="14">
        <v>43123</v>
      </c>
      <c r="C26" s="6">
        <v>2018</v>
      </c>
      <c r="F26" s="4"/>
    </row>
    <row r="27" spans="2:6" x14ac:dyDescent="0.3">
      <c r="B27" s="14">
        <v>43124</v>
      </c>
      <c r="C27" s="6">
        <v>2107</v>
      </c>
      <c r="F27" s="4"/>
    </row>
    <row r="28" spans="2:6" x14ac:dyDescent="0.3">
      <c r="B28" s="14">
        <v>43125</v>
      </c>
      <c r="C28" s="6">
        <v>2003</v>
      </c>
      <c r="F28" s="4"/>
    </row>
    <row r="29" spans="2:6" x14ac:dyDescent="0.3">
      <c r="B29" s="14">
        <v>43126</v>
      </c>
      <c r="C29" s="6">
        <v>2167</v>
      </c>
      <c r="F29" s="4"/>
    </row>
    <row r="30" spans="2:6" x14ac:dyDescent="0.3">
      <c r="B30" s="14">
        <v>43127</v>
      </c>
      <c r="C30" s="6">
        <v>2005</v>
      </c>
      <c r="F30" s="4"/>
    </row>
    <row r="31" spans="2:6" x14ac:dyDescent="0.3">
      <c r="B31" s="14">
        <v>43128</v>
      </c>
      <c r="C31" s="6">
        <v>2136</v>
      </c>
      <c r="F31" s="4"/>
    </row>
    <row r="32" spans="2:6" x14ac:dyDescent="0.3">
      <c r="B32" s="14">
        <v>43129</v>
      </c>
      <c r="C32" s="6">
        <v>2127</v>
      </c>
      <c r="F32" s="4"/>
    </row>
    <row r="33" spans="2:6" x14ac:dyDescent="0.3">
      <c r="B33" s="14">
        <v>43130</v>
      </c>
      <c r="C33" s="6">
        <v>2152</v>
      </c>
      <c r="F33" s="4"/>
    </row>
    <row r="34" spans="2:6" x14ac:dyDescent="0.3">
      <c r="B34" s="14">
        <v>43131</v>
      </c>
      <c r="C34" s="6">
        <v>2057</v>
      </c>
      <c r="F34" s="4"/>
    </row>
    <row r="35" spans="2:6" x14ac:dyDescent="0.3">
      <c r="B35" s="14">
        <v>43132</v>
      </c>
      <c r="C35" s="6">
        <v>2126</v>
      </c>
      <c r="F35" s="4"/>
    </row>
    <row r="36" spans="2:6" x14ac:dyDescent="0.3">
      <c r="B36" s="14">
        <v>43133</v>
      </c>
      <c r="C36" s="6">
        <v>2100</v>
      </c>
      <c r="F36" s="4"/>
    </row>
    <row r="37" spans="2:6" x14ac:dyDescent="0.3">
      <c r="B37" s="14">
        <v>43134</v>
      </c>
      <c r="C37" s="6">
        <v>2110</v>
      </c>
      <c r="F37" s="4"/>
    </row>
    <row r="38" spans="2:6" x14ac:dyDescent="0.3">
      <c r="B38" s="14">
        <v>43135</v>
      </c>
      <c r="C38" s="6">
        <v>2045</v>
      </c>
      <c r="F38" s="4"/>
    </row>
    <row r="39" spans="2:6" x14ac:dyDescent="0.3">
      <c r="B39" s="14">
        <v>43136</v>
      </c>
      <c r="C39" s="6">
        <v>2166</v>
      </c>
      <c r="F39" s="4"/>
    </row>
    <row r="40" spans="2:6" x14ac:dyDescent="0.3">
      <c r="B40" s="14">
        <v>43137</v>
      </c>
      <c r="C40" s="6">
        <v>2191</v>
      </c>
      <c r="F40" s="4"/>
    </row>
    <row r="41" spans="2:6" x14ac:dyDescent="0.3">
      <c r="B41" s="14">
        <v>43138</v>
      </c>
      <c r="C41" s="6">
        <v>2035</v>
      </c>
      <c r="F41" s="4"/>
    </row>
    <row r="42" spans="2:6" x14ac:dyDescent="0.3">
      <c r="B42" s="14">
        <v>43139</v>
      </c>
      <c r="C42" s="6">
        <v>2008</v>
      </c>
      <c r="F42" s="4"/>
    </row>
    <row r="43" spans="2:6" x14ac:dyDescent="0.3">
      <c r="B43" s="14">
        <v>43140</v>
      </c>
      <c r="C43" s="6">
        <v>2162</v>
      </c>
      <c r="F43" s="4"/>
    </row>
    <row r="44" spans="2:6" x14ac:dyDescent="0.3">
      <c r="B44" s="14">
        <v>43141</v>
      </c>
      <c r="C44" s="6">
        <v>2175</v>
      </c>
      <c r="F44" s="4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678BC-9CAC-2245-B87D-7630EC22FC5F}">
  <dimension ref="A1:Y151"/>
  <sheetViews>
    <sheetView topLeftCell="A44" zoomScale="80" zoomScaleNormal="80" workbookViewId="0">
      <selection activeCell="A4" sqref="A4"/>
    </sheetView>
  </sheetViews>
  <sheetFormatPr defaultColWidth="11.19921875" defaultRowHeight="15.6" x14ac:dyDescent="0.3"/>
  <sheetData>
    <row r="1" spans="1:25" x14ac:dyDescent="0.3">
      <c r="A1" s="37" t="s">
        <v>116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spans="1:25" ht="58.0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4" spans="1:25" ht="23.4" x14ac:dyDescent="0.45">
      <c r="C4" s="12" t="s">
        <v>104</v>
      </c>
    </row>
    <row r="29" spans="3:3" ht="23.4" x14ac:dyDescent="0.45">
      <c r="C29" s="12" t="s">
        <v>105</v>
      </c>
    </row>
    <row r="78" spans="3:15" ht="23.4" x14ac:dyDescent="0.45">
      <c r="C78" s="12" t="s">
        <v>106</v>
      </c>
      <c r="I78" s="12" t="s">
        <v>107</v>
      </c>
      <c r="O78" s="12" t="s">
        <v>108</v>
      </c>
    </row>
    <row r="97" spans="3:10" ht="23.4" x14ac:dyDescent="0.45">
      <c r="C97" s="12" t="s">
        <v>108</v>
      </c>
      <c r="J97" s="12" t="s">
        <v>109</v>
      </c>
    </row>
    <row r="115" spans="3:10" ht="23.4" x14ac:dyDescent="0.45">
      <c r="C115" s="12" t="s">
        <v>110</v>
      </c>
      <c r="J115" s="12" t="s">
        <v>111</v>
      </c>
    </row>
    <row r="135" spans="3:10" ht="23.4" x14ac:dyDescent="0.45">
      <c r="C135" s="12" t="s">
        <v>112</v>
      </c>
      <c r="J135" s="12" t="s">
        <v>113</v>
      </c>
    </row>
    <row r="151" spans="3:10" ht="23.4" x14ac:dyDescent="0.45">
      <c r="C151" s="12" t="s">
        <v>114</v>
      </c>
      <c r="J151" s="12" t="s">
        <v>115</v>
      </c>
    </row>
  </sheetData>
  <sheetProtection algorithmName="SHA-512" hashValue="31BGCI+Zuv+x1yFe/GSYsUUYsBgM9WlkjFp6Bg6dxvDMr55bTLbqjYl+fYPZ/eR6YIuc/lucTok5uiNWkufVnw==" saltValue="qCcjlLkHEk9ATyqoYw1ikw==" spinCount="100000" sheet="1" objects="1" scenarios="1" selectLockedCells="1" selectUnlockedCells="1"/>
  <mergeCells count="1">
    <mergeCell ref="A1:Y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</vt:lpstr>
      <vt:lpstr>Bar Charts</vt:lpstr>
      <vt:lpstr>Pie Chart</vt:lpstr>
      <vt:lpstr>Line Chart and Combo Chart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KUSHAL PAUDEL</cp:lastModifiedBy>
  <dcterms:created xsi:type="dcterms:W3CDTF">2023-02-10T08:56:11Z</dcterms:created>
  <dcterms:modified xsi:type="dcterms:W3CDTF">2025-12-19T11:51:13Z</dcterms:modified>
</cp:coreProperties>
</file>