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Skillovilla\"/>
    </mc:Choice>
  </mc:AlternateContent>
  <xr:revisionPtr revIDLastSave="0" documentId="8_{85104BB5-F53C-4F88-86EE-8313ECD0B838}" xr6:coauthVersionLast="47" xr6:coauthVersionMax="47" xr10:uidLastSave="{00000000-0000-0000-0000-000000000000}"/>
  <bookViews>
    <workbookView xWindow="-108" yWindow="-108" windowWidth="23256" windowHeight="12456" tabRatio="697" activeTab="3" xr2:uid="{8476F21F-85EE-7F40-850E-A4382EE029AB}"/>
  </bookViews>
  <sheets>
    <sheet name="Food Data" sheetId="1" r:id="rId1"/>
    <sheet name="Assignment Score" sheetId="2" r:id="rId2"/>
    <sheet name="Hydropower" sheetId="3" r:id="rId3"/>
    <sheet name="pnl" sheetId="5" r:id="rId4"/>
  </sheets>
  <externalReferences>
    <externalReference r:id="rId5"/>
  </externalReferences>
  <definedNames>
    <definedName name="_xlnm._FilterDatabase" localSheetId="1" hidden="1">'Assignment Score'!$B$2:$T$315</definedName>
    <definedName name="_xlnm._FilterDatabase" localSheetId="0" hidden="1">'Food Data'!$A$1:$I$245</definedName>
    <definedName name="TechNum">[1]!tblRates[Techs]</definedName>
    <definedName name="TechRate">[1]!tblRates[LbrRate]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5" l="1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M9" i="5"/>
  <c r="EM10" i="5" s="1"/>
  <c r="E9" i="5"/>
  <c r="E10" i="5" s="1"/>
  <c r="F9" i="5"/>
  <c r="F10" i="5" s="1"/>
  <c r="G9" i="5"/>
  <c r="G10" i="5" s="1"/>
  <c r="H9" i="5"/>
  <c r="I9" i="5"/>
  <c r="I10" i="5" s="1"/>
  <c r="J9" i="5"/>
  <c r="J10" i="5" s="1"/>
  <c r="K9" i="5"/>
  <c r="K10" i="5" s="1"/>
  <c r="L9" i="5"/>
  <c r="L10" i="5" s="1"/>
  <c r="M9" i="5"/>
  <c r="M10" i="5" s="1"/>
  <c r="N9" i="5"/>
  <c r="N10" i="5" s="1"/>
  <c r="O9" i="5"/>
  <c r="O10" i="5" s="1"/>
  <c r="P9" i="5"/>
  <c r="Q9" i="5"/>
  <c r="Q10" i="5" s="1"/>
  <c r="R9" i="5"/>
  <c r="R10" i="5" s="1"/>
  <c r="S9" i="5"/>
  <c r="S10" i="5" s="1"/>
  <c r="T9" i="5"/>
  <c r="T10" i="5" s="1"/>
  <c r="U9" i="5"/>
  <c r="U10" i="5" s="1"/>
  <c r="V9" i="5"/>
  <c r="V10" i="5" s="1"/>
  <c r="W9" i="5"/>
  <c r="W10" i="5" s="1"/>
  <c r="X9" i="5"/>
  <c r="X10" i="5" s="1"/>
  <c r="Y9" i="5"/>
  <c r="Y10" i="5" s="1"/>
  <c r="Z9" i="5"/>
  <c r="Z10" i="5" s="1"/>
  <c r="AA9" i="5"/>
  <c r="AA10" i="5" s="1"/>
  <c r="AB9" i="5"/>
  <c r="AB10" i="5" s="1"/>
  <c r="AC9" i="5"/>
  <c r="AC10" i="5" s="1"/>
  <c r="AD9" i="5"/>
  <c r="AD10" i="5" s="1"/>
  <c r="AE9" i="5"/>
  <c r="AE10" i="5" s="1"/>
  <c r="AF9" i="5"/>
  <c r="AF10" i="5" s="1"/>
  <c r="AG9" i="5"/>
  <c r="AG10" i="5" s="1"/>
  <c r="AH9" i="5"/>
  <c r="AH10" i="5" s="1"/>
  <c r="AI9" i="5"/>
  <c r="AI10" i="5" s="1"/>
  <c r="AJ9" i="5"/>
  <c r="AJ10" i="5" s="1"/>
  <c r="AK9" i="5"/>
  <c r="AK10" i="5" s="1"/>
  <c r="AL9" i="5"/>
  <c r="AL10" i="5" s="1"/>
  <c r="AM9" i="5"/>
  <c r="AM10" i="5" s="1"/>
  <c r="AN9" i="5"/>
  <c r="AN10" i="5" s="1"/>
  <c r="AO9" i="5"/>
  <c r="AO10" i="5" s="1"/>
  <c r="AP9" i="5"/>
  <c r="AP10" i="5" s="1"/>
  <c r="AQ9" i="5"/>
  <c r="AQ10" i="5" s="1"/>
  <c r="AR9" i="5"/>
  <c r="AR10" i="5" s="1"/>
  <c r="AS9" i="5"/>
  <c r="AS10" i="5" s="1"/>
  <c r="AT9" i="5"/>
  <c r="AT10" i="5" s="1"/>
  <c r="AU9" i="5"/>
  <c r="AU10" i="5" s="1"/>
  <c r="AV9" i="5"/>
  <c r="AV10" i="5" s="1"/>
  <c r="AW9" i="5"/>
  <c r="AW10" i="5" s="1"/>
  <c r="AX9" i="5"/>
  <c r="AX10" i="5" s="1"/>
  <c r="AY9" i="5"/>
  <c r="AY10" i="5" s="1"/>
  <c r="AZ9" i="5"/>
  <c r="AZ10" i="5" s="1"/>
  <c r="BA9" i="5"/>
  <c r="BA10" i="5" s="1"/>
  <c r="BB9" i="5"/>
  <c r="BB10" i="5" s="1"/>
  <c r="BC9" i="5"/>
  <c r="BC10" i="5" s="1"/>
  <c r="BD9" i="5"/>
  <c r="BD10" i="5" s="1"/>
  <c r="BE9" i="5"/>
  <c r="BE10" i="5" s="1"/>
  <c r="BF9" i="5"/>
  <c r="BF10" i="5" s="1"/>
  <c r="BG9" i="5"/>
  <c r="BG10" i="5" s="1"/>
  <c r="BH9" i="5"/>
  <c r="BH10" i="5" s="1"/>
  <c r="BI9" i="5"/>
  <c r="BI10" i="5" s="1"/>
  <c r="BJ9" i="5"/>
  <c r="BJ10" i="5" s="1"/>
  <c r="BK9" i="5"/>
  <c r="BK10" i="5" s="1"/>
  <c r="BL9" i="5"/>
  <c r="BL10" i="5" s="1"/>
  <c r="BM9" i="5"/>
  <c r="BM10" i="5" s="1"/>
  <c r="BN9" i="5"/>
  <c r="BN10" i="5" s="1"/>
  <c r="BO9" i="5"/>
  <c r="BO10" i="5" s="1"/>
  <c r="BP9" i="5"/>
  <c r="BP10" i="5" s="1"/>
  <c r="BQ9" i="5"/>
  <c r="BQ10" i="5" s="1"/>
  <c r="BR9" i="5"/>
  <c r="BR10" i="5" s="1"/>
  <c r="BS9" i="5"/>
  <c r="BS10" i="5" s="1"/>
  <c r="BT9" i="5"/>
  <c r="BT10" i="5" s="1"/>
  <c r="BU9" i="5"/>
  <c r="BU10" i="5" s="1"/>
  <c r="BV9" i="5"/>
  <c r="BV10" i="5" s="1"/>
  <c r="BW9" i="5"/>
  <c r="BW10" i="5" s="1"/>
  <c r="BX9" i="5"/>
  <c r="BX10" i="5" s="1"/>
  <c r="BY9" i="5"/>
  <c r="BY10" i="5" s="1"/>
  <c r="BZ9" i="5"/>
  <c r="BZ10" i="5" s="1"/>
  <c r="CA9" i="5"/>
  <c r="CA10" i="5" s="1"/>
  <c r="CB9" i="5"/>
  <c r="CB10" i="5" s="1"/>
  <c r="CC9" i="5"/>
  <c r="CC10" i="5" s="1"/>
  <c r="CD9" i="5"/>
  <c r="CD10" i="5" s="1"/>
  <c r="CE9" i="5"/>
  <c r="CE10" i="5" s="1"/>
  <c r="CF9" i="5"/>
  <c r="CF10" i="5" s="1"/>
  <c r="CG9" i="5"/>
  <c r="CG10" i="5" s="1"/>
  <c r="CH9" i="5"/>
  <c r="CH10" i="5" s="1"/>
  <c r="CI9" i="5"/>
  <c r="CI10" i="5" s="1"/>
  <c r="CJ9" i="5"/>
  <c r="CJ10" i="5" s="1"/>
  <c r="CK9" i="5"/>
  <c r="CK10" i="5" s="1"/>
  <c r="CL9" i="5"/>
  <c r="CL10" i="5" s="1"/>
  <c r="CM9" i="5"/>
  <c r="CM10" i="5" s="1"/>
  <c r="CN9" i="5"/>
  <c r="CN10" i="5" s="1"/>
  <c r="CO9" i="5"/>
  <c r="CO10" i="5" s="1"/>
  <c r="CP9" i="5"/>
  <c r="CP10" i="5" s="1"/>
  <c r="CQ9" i="5"/>
  <c r="CQ10" i="5" s="1"/>
  <c r="CR9" i="5"/>
  <c r="CR10" i="5" s="1"/>
  <c r="CS9" i="5"/>
  <c r="CS10" i="5" s="1"/>
  <c r="CT9" i="5"/>
  <c r="CT10" i="5" s="1"/>
  <c r="CU9" i="5"/>
  <c r="CU10" i="5" s="1"/>
  <c r="CV9" i="5"/>
  <c r="CV10" i="5" s="1"/>
  <c r="CW9" i="5"/>
  <c r="CW10" i="5" s="1"/>
  <c r="CX9" i="5"/>
  <c r="CX10" i="5" s="1"/>
  <c r="CY9" i="5"/>
  <c r="CY10" i="5" s="1"/>
  <c r="CZ9" i="5"/>
  <c r="CZ10" i="5" s="1"/>
  <c r="DA9" i="5"/>
  <c r="DA10" i="5" s="1"/>
  <c r="DB9" i="5"/>
  <c r="DB10" i="5" s="1"/>
  <c r="DC9" i="5"/>
  <c r="DC10" i="5" s="1"/>
  <c r="DD9" i="5"/>
  <c r="DD10" i="5" s="1"/>
  <c r="DE9" i="5"/>
  <c r="DE10" i="5" s="1"/>
  <c r="DF9" i="5"/>
  <c r="DF10" i="5" s="1"/>
  <c r="DG9" i="5"/>
  <c r="DG10" i="5" s="1"/>
  <c r="DH9" i="5"/>
  <c r="DH10" i="5" s="1"/>
  <c r="DI9" i="5"/>
  <c r="DI10" i="5" s="1"/>
  <c r="DJ9" i="5"/>
  <c r="DJ10" i="5" s="1"/>
  <c r="DK9" i="5"/>
  <c r="DK10" i="5" s="1"/>
  <c r="DL9" i="5"/>
  <c r="DL10" i="5" s="1"/>
  <c r="DM9" i="5"/>
  <c r="DM10" i="5" s="1"/>
  <c r="DN9" i="5"/>
  <c r="DN10" i="5" s="1"/>
  <c r="DO9" i="5"/>
  <c r="DO10" i="5" s="1"/>
  <c r="DP9" i="5"/>
  <c r="DP10" i="5" s="1"/>
  <c r="DQ9" i="5"/>
  <c r="DQ10" i="5" s="1"/>
  <c r="DR9" i="5"/>
  <c r="DR10" i="5" s="1"/>
  <c r="DS9" i="5"/>
  <c r="DS10" i="5" s="1"/>
  <c r="DT9" i="5"/>
  <c r="DT10" i="5" s="1"/>
  <c r="DU9" i="5"/>
  <c r="DU10" i="5" s="1"/>
  <c r="DV9" i="5"/>
  <c r="DV10" i="5" s="1"/>
  <c r="DW9" i="5"/>
  <c r="DW10" i="5" s="1"/>
  <c r="DX9" i="5"/>
  <c r="DX10" i="5" s="1"/>
  <c r="DY9" i="5"/>
  <c r="DY10" i="5" s="1"/>
  <c r="DZ9" i="5"/>
  <c r="DZ10" i="5" s="1"/>
  <c r="EA9" i="5"/>
  <c r="EA10" i="5" s="1"/>
  <c r="EB9" i="5"/>
  <c r="EB10" i="5" s="1"/>
  <c r="EC9" i="5"/>
  <c r="EC10" i="5" s="1"/>
  <c r="ED9" i="5"/>
  <c r="ED10" i="5" s="1"/>
  <c r="EE9" i="5"/>
  <c r="EE10" i="5" s="1"/>
  <c r="EF9" i="5"/>
  <c r="EF10" i="5" s="1"/>
  <c r="EG9" i="5"/>
  <c r="EG10" i="5" s="1"/>
  <c r="EH9" i="5"/>
  <c r="EH10" i="5" s="1"/>
  <c r="EI9" i="5"/>
  <c r="EI10" i="5" s="1"/>
  <c r="EJ9" i="5"/>
  <c r="EJ10" i="5" s="1"/>
  <c r="EK9" i="5"/>
  <c r="EK10" i="5" s="1"/>
  <c r="EL9" i="5"/>
  <c r="EL10" i="5" s="1"/>
  <c r="EN9" i="5"/>
  <c r="EN10" i="5" s="1"/>
  <c r="EO9" i="5"/>
  <c r="EO10" i="5" s="1"/>
  <c r="EP9" i="5"/>
  <c r="EP10" i="5" s="1"/>
  <c r="D17" i="5"/>
  <c r="D9" i="5"/>
  <c r="D10" i="5" s="1"/>
  <c r="P10" i="5"/>
  <c r="E17" i="5"/>
  <c r="F17" i="5"/>
  <c r="G17" i="5"/>
  <c r="H17" i="5"/>
  <c r="I17" i="5"/>
  <c r="J17" i="5"/>
  <c r="K17" i="5"/>
  <c r="L17" i="5"/>
  <c r="M17" i="5"/>
  <c r="N17" i="5"/>
  <c r="O17" i="5"/>
  <c r="P17" i="5"/>
  <c r="H10" i="5"/>
  <c r="F27" i="3"/>
  <c r="G27" i="3"/>
  <c r="H27" i="3"/>
  <c r="I27" i="3"/>
  <c r="J27" i="3"/>
  <c r="C28" i="3" s="1"/>
  <c r="K27" i="3"/>
  <c r="L27" i="3"/>
  <c r="M27" i="3"/>
  <c r="N27" i="3"/>
  <c r="O27" i="3"/>
  <c r="P27" i="3"/>
  <c r="C27" i="3"/>
  <c r="D27" i="3"/>
  <c r="E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" i="2"/>
  <c r="EO18" i="5" l="1"/>
  <c r="EO21" i="5" s="1"/>
  <c r="EN18" i="5"/>
  <c r="EN21" i="5" s="1"/>
  <c r="CV18" i="5"/>
  <c r="CV21" i="5" s="1"/>
  <c r="BP18" i="5"/>
  <c r="BP21" i="5" s="1"/>
  <c r="AJ18" i="5"/>
  <c r="AJ21" i="5" s="1"/>
  <c r="EF18" i="5"/>
  <c r="EF21" i="5" s="1"/>
  <c r="DX18" i="5"/>
  <c r="DX21" i="5" s="1"/>
  <c r="DP18" i="5"/>
  <c r="DP21" i="5" s="1"/>
  <c r="DH18" i="5"/>
  <c r="DH21" i="5" s="1"/>
  <c r="X18" i="5"/>
  <c r="X21" i="5" s="1"/>
  <c r="H18" i="5"/>
  <c r="H21" i="5" s="1"/>
  <c r="H23" i="5" s="1"/>
  <c r="H25" i="5" s="1"/>
  <c r="D18" i="5"/>
  <c r="D21" i="5" s="1"/>
  <c r="D23" i="5" s="1"/>
  <c r="EI18" i="5"/>
  <c r="EI21" i="5" s="1"/>
  <c r="EA18" i="5"/>
  <c r="EA21" i="5" s="1"/>
  <c r="DS18" i="5"/>
  <c r="DS21" i="5" s="1"/>
  <c r="DK18" i="5"/>
  <c r="DK21" i="5" s="1"/>
  <c r="DC18" i="5"/>
  <c r="DC21" i="5" s="1"/>
  <c r="CU18" i="5"/>
  <c r="CU21" i="5" s="1"/>
  <c r="CM18" i="5"/>
  <c r="CM21" i="5" s="1"/>
  <c r="CE18" i="5"/>
  <c r="CE21" i="5" s="1"/>
  <c r="BW18" i="5"/>
  <c r="BW21" i="5" s="1"/>
  <c r="BO18" i="5"/>
  <c r="BO21" i="5" s="1"/>
  <c r="BG18" i="5"/>
  <c r="BG21" i="5" s="1"/>
  <c r="AY18" i="5"/>
  <c r="AY21" i="5" s="1"/>
  <c r="AQ18" i="5"/>
  <c r="AQ21" i="5" s="1"/>
  <c r="AI18" i="5"/>
  <c r="AI21" i="5" s="1"/>
  <c r="AA18" i="5"/>
  <c r="AA21" i="5" s="1"/>
  <c r="S18" i="5"/>
  <c r="S21" i="5" s="1"/>
  <c r="EG18" i="5"/>
  <c r="EG21" i="5" s="1"/>
  <c r="DY18" i="5"/>
  <c r="DY21" i="5" s="1"/>
  <c r="DQ18" i="5"/>
  <c r="DQ21" i="5" s="1"/>
  <c r="DI18" i="5"/>
  <c r="DI21" i="5" s="1"/>
  <c r="DA18" i="5"/>
  <c r="DA21" i="5" s="1"/>
  <c r="CS18" i="5"/>
  <c r="CS21" i="5" s="1"/>
  <c r="CK18" i="5"/>
  <c r="CK21" i="5" s="1"/>
  <c r="CC18" i="5"/>
  <c r="CC21" i="5" s="1"/>
  <c r="BU18" i="5"/>
  <c r="BU21" i="5" s="1"/>
  <c r="BM18" i="5"/>
  <c r="BM21" i="5" s="1"/>
  <c r="BE18" i="5"/>
  <c r="BE21" i="5" s="1"/>
  <c r="AW18" i="5"/>
  <c r="AW21" i="5" s="1"/>
  <c r="AO18" i="5"/>
  <c r="AO21" i="5" s="1"/>
  <c r="AG18" i="5"/>
  <c r="AG21" i="5" s="1"/>
  <c r="Y18" i="5"/>
  <c r="Y21" i="5" s="1"/>
  <c r="Q18" i="5"/>
  <c r="Q21" i="5" s="1"/>
  <c r="EE18" i="5"/>
  <c r="EE21" i="5" s="1"/>
  <c r="DW18" i="5"/>
  <c r="DW21" i="5" s="1"/>
  <c r="DO18" i="5"/>
  <c r="DO21" i="5" s="1"/>
  <c r="DG18" i="5"/>
  <c r="DG21" i="5" s="1"/>
  <c r="CY18" i="5"/>
  <c r="CY21" i="5" s="1"/>
  <c r="CQ18" i="5"/>
  <c r="CQ21" i="5" s="1"/>
  <c r="CI18" i="5"/>
  <c r="CI21" i="5" s="1"/>
  <c r="CA18" i="5"/>
  <c r="CA21" i="5" s="1"/>
  <c r="BS18" i="5"/>
  <c r="BS21" i="5" s="1"/>
  <c r="BK18" i="5"/>
  <c r="BK21" i="5" s="1"/>
  <c r="BC18" i="5"/>
  <c r="BC21" i="5" s="1"/>
  <c r="AU18" i="5"/>
  <c r="AU21" i="5" s="1"/>
  <c r="AM18" i="5"/>
  <c r="AM21" i="5" s="1"/>
  <c r="AE18" i="5"/>
  <c r="AE21" i="5" s="1"/>
  <c r="W18" i="5"/>
  <c r="W21" i="5" s="1"/>
  <c r="EK18" i="5"/>
  <c r="EK21" i="5" s="1"/>
  <c r="EC18" i="5"/>
  <c r="EC21" i="5" s="1"/>
  <c r="DU18" i="5"/>
  <c r="DU21" i="5" s="1"/>
  <c r="DM18" i="5"/>
  <c r="DM21" i="5" s="1"/>
  <c r="DE18" i="5"/>
  <c r="DE21" i="5" s="1"/>
  <c r="CW18" i="5"/>
  <c r="CW21" i="5" s="1"/>
  <c r="CO18" i="5"/>
  <c r="CO21" i="5" s="1"/>
  <c r="CG18" i="5"/>
  <c r="CG21" i="5" s="1"/>
  <c r="BY18" i="5"/>
  <c r="BY21" i="5" s="1"/>
  <c r="BQ18" i="5"/>
  <c r="BQ21" i="5" s="1"/>
  <c r="BI18" i="5"/>
  <c r="BI21" i="5" s="1"/>
  <c r="BA18" i="5"/>
  <c r="BA21" i="5" s="1"/>
  <c r="AS18" i="5"/>
  <c r="AS21" i="5" s="1"/>
  <c r="AK18" i="5"/>
  <c r="AK21" i="5" s="1"/>
  <c r="AC18" i="5"/>
  <c r="AC21" i="5" s="1"/>
  <c r="U18" i="5"/>
  <c r="U21" i="5" s="1"/>
  <c r="CJ18" i="5"/>
  <c r="CJ21" i="5" s="1"/>
  <c r="CZ18" i="5"/>
  <c r="CZ21" i="5" s="1"/>
  <c r="CR18" i="5"/>
  <c r="CR21" i="5" s="1"/>
  <c r="CB18" i="5"/>
  <c r="CB21" i="5" s="1"/>
  <c r="BT18" i="5"/>
  <c r="BT21" i="5" s="1"/>
  <c r="BL18" i="5"/>
  <c r="BL21" i="5" s="1"/>
  <c r="BD18" i="5"/>
  <c r="BD21" i="5" s="1"/>
  <c r="AV18" i="5"/>
  <c r="AV21" i="5" s="1"/>
  <c r="AN18" i="5"/>
  <c r="AN21" i="5" s="1"/>
  <c r="AF18" i="5"/>
  <c r="AF21" i="5" s="1"/>
  <c r="O18" i="5"/>
  <c r="O21" i="5" s="1"/>
  <c r="O23" i="5" s="1"/>
  <c r="O25" i="5" s="1"/>
  <c r="EL18" i="5"/>
  <c r="EL21" i="5" s="1"/>
  <c r="ED18" i="5"/>
  <c r="ED21" i="5" s="1"/>
  <c r="DV18" i="5"/>
  <c r="DV21" i="5" s="1"/>
  <c r="DN18" i="5"/>
  <c r="DN21" i="5" s="1"/>
  <c r="DF18" i="5"/>
  <c r="DF21" i="5" s="1"/>
  <c r="CX18" i="5"/>
  <c r="CX21" i="5" s="1"/>
  <c r="CP18" i="5"/>
  <c r="CP21" i="5" s="1"/>
  <c r="CH18" i="5"/>
  <c r="CH21" i="5" s="1"/>
  <c r="BZ18" i="5"/>
  <c r="BZ21" i="5" s="1"/>
  <c r="BR18" i="5"/>
  <c r="BR21" i="5" s="1"/>
  <c r="BJ18" i="5"/>
  <c r="BJ21" i="5" s="1"/>
  <c r="BB18" i="5"/>
  <c r="BB21" i="5" s="1"/>
  <c r="AT18" i="5"/>
  <c r="AT21" i="5" s="1"/>
  <c r="AL18" i="5"/>
  <c r="AL21" i="5" s="1"/>
  <c r="AD18" i="5"/>
  <c r="AD21" i="5" s="1"/>
  <c r="V18" i="5"/>
  <c r="V21" i="5" s="1"/>
  <c r="EJ18" i="5"/>
  <c r="EJ21" i="5" s="1"/>
  <c r="EB18" i="5"/>
  <c r="EB21" i="5" s="1"/>
  <c r="DT18" i="5"/>
  <c r="DT21" i="5" s="1"/>
  <c r="DL18" i="5"/>
  <c r="DL21" i="5" s="1"/>
  <c r="DD18" i="5"/>
  <c r="DD21" i="5" s="1"/>
  <c r="CN18" i="5"/>
  <c r="CN21" i="5" s="1"/>
  <c r="CF18" i="5"/>
  <c r="CF21" i="5" s="1"/>
  <c r="BX18" i="5"/>
  <c r="BX21" i="5" s="1"/>
  <c r="BH18" i="5"/>
  <c r="BH21" i="5" s="1"/>
  <c r="AZ18" i="5"/>
  <c r="AZ21" i="5" s="1"/>
  <c r="AR18" i="5"/>
  <c r="AR21" i="5" s="1"/>
  <c r="AB18" i="5"/>
  <c r="AB21" i="5" s="1"/>
  <c r="T18" i="5"/>
  <c r="T21" i="5" s="1"/>
  <c r="EH18" i="5"/>
  <c r="EH21" i="5" s="1"/>
  <c r="DZ18" i="5"/>
  <c r="DZ21" i="5" s="1"/>
  <c r="DR18" i="5"/>
  <c r="DR21" i="5" s="1"/>
  <c r="DJ18" i="5"/>
  <c r="DJ21" i="5" s="1"/>
  <c r="DB18" i="5"/>
  <c r="DB21" i="5" s="1"/>
  <c r="CT18" i="5"/>
  <c r="CT21" i="5" s="1"/>
  <c r="CL18" i="5"/>
  <c r="CL21" i="5" s="1"/>
  <c r="CD18" i="5"/>
  <c r="CD21" i="5" s="1"/>
  <c r="BV18" i="5"/>
  <c r="BV21" i="5" s="1"/>
  <c r="BN18" i="5"/>
  <c r="BN21" i="5" s="1"/>
  <c r="BF18" i="5"/>
  <c r="BF21" i="5" s="1"/>
  <c r="AX18" i="5"/>
  <c r="AX21" i="5" s="1"/>
  <c r="AP18" i="5"/>
  <c r="AP21" i="5" s="1"/>
  <c r="AH18" i="5"/>
  <c r="AH21" i="5" s="1"/>
  <c r="Z18" i="5"/>
  <c r="Z21" i="5" s="1"/>
  <c r="R18" i="5"/>
  <c r="R21" i="5" s="1"/>
  <c r="EP18" i="5"/>
  <c r="EP21" i="5" s="1"/>
  <c r="N18" i="5"/>
  <c r="N21" i="5" s="1"/>
  <c r="N23" i="5" s="1"/>
  <c r="N25" i="5" s="1"/>
  <c r="G18" i="5"/>
  <c r="G21" i="5" s="1"/>
  <c r="G23" i="5" s="1"/>
  <c r="G25" i="5" s="1"/>
  <c r="M18" i="5"/>
  <c r="M21" i="5" s="1"/>
  <c r="M23" i="5" s="1"/>
  <c r="M25" i="5" s="1"/>
  <c r="E18" i="5"/>
  <c r="E21" i="5" s="1"/>
  <c r="E23" i="5" s="1"/>
  <c r="E25" i="5" s="1"/>
  <c r="P18" i="5"/>
  <c r="P21" i="5" s="1"/>
  <c r="P23" i="5" s="1"/>
  <c r="P25" i="5" s="1"/>
  <c r="L18" i="5"/>
  <c r="L21" i="5" s="1"/>
  <c r="L23" i="5" s="1"/>
  <c r="L25" i="5" s="1"/>
  <c r="EM18" i="5"/>
  <c r="EM21" i="5" s="1"/>
  <c r="K18" i="5"/>
  <c r="K21" i="5" s="1"/>
  <c r="K23" i="5" s="1"/>
  <c r="K25" i="5" s="1"/>
  <c r="F18" i="5"/>
  <c r="F21" i="5" s="1"/>
  <c r="F23" i="5" s="1"/>
  <c r="F25" i="5" s="1"/>
  <c r="J18" i="5"/>
  <c r="J21" i="5" s="1"/>
  <c r="J23" i="5" s="1"/>
  <c r="J25" i="5" s="1"/>
  <c r="I18" i="5"/>
  <c r="I21" i="5" s="1"/>
  <c r="I23" i="5" s="1"/>
  <c r="I25" i="5" s="1"/>
  <c r="I245" i="1" l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D25" i="5" l="1"/>
</calcChain>
</file>

<file path=xl/sharedStrings.xml><?xml version="1.0" encoding="utf-8"?>
<sst xmlns="http://schemas.openxmlformats.org/spreadsheetml/2006/main" count="1577" uniqueCount="535">
  <si>
    <t>OrderDate</t>
  </si>
  <si>
    <t>Region</t>
  </si>
  <si>
    <t>City</t>
  </si>
  <si>
    <t>Category</t>
  </si>
  <si>
    <t>Quantity</t>
  </si>
  <si>
    <t>UnitPrice</t>
  </si>
  <si>
    <t>TotalPrice</t>
  </si>
  <si>
    <t>East</t>
  </si>
  <si>
    <t>Boston</t>
  </si>
  <si>
    <t>Bars</t>
  </si>
  <si>
    <t>Crackers</t>
  </si>
  <si>
    <t>West</t>
  </si>
  <si>
    <t>Los Angeles</t>
  </si>
  <si>
    <t>Cookies</t>
  </si>
  <si>
    <t>New York</t>
  </si>
  <si>
    <t>Snacks</t>
  </si>
  <si>
    <t>San Diego</t>
  </si>
  <si>
    <t>Profit Margin</t>
  </si>
  <si>
    <t>Cost Price</t>
  </si>
  <si>
    <t>Roll Number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</si>
  <si>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</si>
  <si>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</si>
  <si>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</si>
  <si>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</si>
  <si>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</si>
  <si>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</si>
  <si>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</si>
  <si>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</si>
  <si>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Assignment 9</t>
  </si>
  <si>
    <t>Assignment 10</t>
  </si>
  <si>
    <t>Assignment 11</t>
  </si>
  <si>
    <t>Assignment 12</t>
  </si>
  <si>
    <t>Assignment 13</t>
  </si>
  <si>
    <t>Assignment 14</t>
  </si>
  <si>
    <t>Assignment 15</t>
  </si>
  <si>
    <t>Assignment 16</t>
  </si>
  <si>
    <t>Average Score</t>
  </si>
  <si>
    <t>TT2022 6330</t>
  </si>
  <si>
    <t>TT2022 8590</t>
  </si>
  <si>
    <t>TT2022 9132</t>
  </si>
  <si>
    <t>TT2022 8352</t>
  </si>
  <si>
    <t>TT2022 4274</t>
  </si>
  <si>
    <t>TT2022 8806</t>
  </si>
  <si>
    <t>TT2022 2820</t>
  </si>
  <si>
    <t>TT2022 8566</t>
  </si>
  <si>
    <t>TT2022 6745</t>
  </si>
  <si>
    <t>TT2022 9533</t>
  </si>
  <si>
    <t>TT2022 3325</t>
  </si>
  <si>
    <t>TT2022 7316</t>
  </si>
  <si>
    <t>TT2022 1593</t>
  </si>
  <si>
    <t>TT2022 2491</t>
  </si>
  <si>
    <t>TT2022 5334</t>
  </si>
  <si>
    <t>TT2022 2279</t>
  </si>
  <si>
    <t>TT2022 7693</t>
  </si>
  <si>
    <t>TT2022 4565</t>
  </si>
  <si>
    <t>TT2022 4481</t>
  </si>
  <si>
    <t>TT2022 1036</t>
  </si>
  <si>
    <t>TT2022 2923</t>
  </si>
  <si>
    <t>TT2022 6298</t>
  </si>
  <si>
    <t>TT2022 9330</t>
  </si>
  <si>
    <t>TT2022 7104</t>
  </si>
  <si>
    <t>TT2022 3019</t>
  </si>
  <si>
    <t>TT2022 4829</t>
  </si>
  <si>
    <t>TT2022 9974</t>
  </si>
  <si>
    <t>TT2022 8392</t>
  </si>
  <si>
    <t>TT2022 4688</t>
  </si>
  <si>
    <t>TT2022 9345</t>
  </si>
  <si>
    <t>TT2022 2450</t>
  </si>
  <si>
    <t>TT2022 6056</t>
  </si>
  <si>
    <t>TT2022 2720</t>
  </si>
  <si>
    <t>TT2022 7671</t>
  </si>
  <si>
    <t>TT2022 8715</t>
  </si>
  <si>
    <t>TT2022 3584</t>
  </si>
  <si>
    <t>TT2022 6359</t>
  </si>
  <si>
    <t>TT2022 9574</t>
  </si>
  <si>
    <t>TT2022 4678</t>
  </si>
  <si>
    <t>TT2022 6297</t>
  </si>
  <si>
    <t>TT2022 8146</t>
  </si>
  <si>
    <t>TT2022 1106</t>
  </si>
  <si>
    <t>TT2022 6548</t>
  </si>
  <si>
    <t>TT2022 7835</t>
  </si>
  <si>
    <t>TT2022 1433</t>
  </si>
  <si>
    <t>TT2022 3046</t>
  </si>
  <si>
    <t>TT2022 8366</t>
  </si>
  <si>
    <t>TT2022 1528</t>
  </si>
  <si>
    <t>TT2022 9076</t>
  </si>
  <si>
    <t>TT2022 9930</t>
  </si>
  <si>
    <t>TT2022 8238</t>
  </si>
  <si>
    <t>TT2022 1649</t>
  </si>
  <si>
    <t>TT2022 5735</t>
  </si>
  <si>
    <t>TT2022 3927</t>
  </si>
  <si>
    <t>TT2022 5378</t>
  </si>
  <si>
    <t>TT2022 1551</t>
  </si>
  <si>
    <t>TT2022 9479</t>
  </si>
  <si>
    <t>TT2022 4573</t>
  </si>
  <si>
    <t>TT2022 8989</t>
  </si>
  <si>
    <t>TT2022 3030</t>
  </si>
  <si>
    <t>TT2022 7392</t>
  </si>
  <si>
    <t>TT2022 4763</t>
  </si>
  <si>
    <t>TT2022 8024</t>
  </si>
  <si>
    <t>TT2022 9579</t>
  </si>
  <si>
    <t>TT2022 9678</t>
  </si>
  <si>
    <t>TT2022 7152</t>
  </si>
  <si>
    <t>TT2022 7387</t>
  </si>
  <si>
    <t>TT2022 4584</t>
  </si>
  <si>
    <t>TT2022 8265</t>
  </si>
  <si>
    <t>TT2022 7655</t>
  </si>
  <si>
    <t>TT2022 5186</t>
  </si>
  <si>
    <t>TT2022 3558</t>
  </si>
  <si>
    <t>TT2022 8642</t>
  </si>
  <si>
    <t>TT2022 4986</t>
  </si>
  <si>
    <t>TT2022 2634</t>
  </si>
  <si>
    <t>TT2022 5459</t>
  </si>
  <si>
    <t>TT2022 9719</t>
  </si>
  <si>
    <t>TT2022 8798</t>
  </si>
  <si>
    <t>TT2022 7672</t>
  </si>
  <si>
    <t>TT2022 5421</t>
  </si>
  <si>
    <t>TT2022 1163</t>
  </si>
  <si>
    <t>TT2022 2936</t>
  </si>
  <si>
    <t>TT2022 2022</t>
  </si>
  <si>
    <t>TT2022 9313</t>
  </si>
  <si>
    <t>TT2022 2095</t>
  </si>
  <si>
    <t>TT2022 3190</t>
  </si>
  <si>
    <t>TT2022 9248</t>
  </si>
  <si>
    <t>TT2022 4562</t>
  </si>
  <si>
    <t>TT2022 4260</t>
  </si>
  <si>
    <t>TT2022 3032</t>
  </si>
  <si>
    <t>TT2022 2921</t>
  </si>
  <si>
    <t>TT2022 3372</t>
  </si>
  <si>
    <t>TT2022 3803</t>
  </si>
  <si>
    <t>TT2022 3298</t>
  </si>
  <si>
    <t>TT2022 8793</t>
  </si>
  <si>
    <t>TT2022 1145</t>
  </si>
  <si>
    <t>TT2022 6465</t>
  </si>
  <si>
    <t>TT2022 7974</t>
  </si>
  <si>
    <t>TT2022 2320</t>
  </si>
  <si>
    <t>TT2022 9376</t>
  </si>
  <si>
    <t>TT2022 8660</t>
  </si>
  <si>
    <t>TT2022 6436</t>
  </si>
  <si>
    <t>TT2022 5406</t>
  </si>
  <si>
    <t>TT2022 8461</t>
  </si>
  <si>
    <t>TT2022 1702</t>
  </si>
  <si>
    <t>TT2022 9147</t>
  </si>
  <si>
    <t>TT2022 4471</t>
  </si>
  <si>
    <t>TT2022 8139</t>
  </si>
  <si>
    <t>TT2022 5410</t>
  </si>
  <si>
    <t>TT2022 1935</t>
  </si>
  <si>
    <t>TT2022 4622</t>
  </si>
  <si>
    <t>TT2022 6243</t>
  </si>
  <si>
    <t>TT2022 6690</t>
  </si>
  <si>
    <t>TT2022 7865</t>
  </si>
  <si>
    <t>TT2022 2960</t>
  </si>
  <si>
    <t>TT2022 1109</t>
  </si>
  <si>
    <t>TT2022 2882</t>
  </si>
  <si>
    <t>TT2022 2120</t>
  </si>
  <si>
    <t>TT2022 9973</t>
  </si>
  <si>
    <t>TT2022 3771</t>
  </si>
  <si>
    <t>TT2022 5454</t>
  </si>
  <si>
    <t>TT2022 8910</t>
  </si>
  <si>
    <t>TT2022 3267</t>
  </si>
  <si>
    <t>TT2022 2234</t>
  </si>
  <si>
    <t>TT2022 2141</t>
  </si>
  <si>
    <t>TT2022 9497</t>
  </si>
  <si>
    <t>TT2022 5355</t>
  </si>
  <si>
    <t>TT2022 9855</t>
  </si>
  <si>
    <t>TT2022 6386</t>
  </si>
  <si>
    <t>TT2022 9197</t>
  </si>
  <si>
    <t>TT2022 9672</t>
  </si>
  <si>
    <t>TT2022 8185</t>
  </si>
  <si>
    <t>TT2022 5210</t>
  </si>
  <si>
    <t>TT2022 4107</t>
  </si>
  <si>
    <t>TT2022 8245</t>
  </si>
  <si>
    <t>TT2022 8132</t>
  </si>
  <si>
    <t>TT2022 4772</t>
  </si>
  <si>
    <t>TT2022 5693</t>
  </si>
  <si>
    <t>TT2022 9252</t>
  </si>
  <si>
    <t>TT2022 8260</t>
  </si>
  <si>
    <t>TT2022 1062</t>
  </si>
  <si>
    <t>TT2022 4796</t>
  </si>
  <si>
    <t>TT2022 9034</t>
  </si>
  <si>
    <t>TT2022 9616</t>
  </si>
  <si>
    <t>TT2022 8149</t>
  </si>
  <si>
    <t>TT2022 9453</t>
  </si>
  <si>
    <t>TT2022 3217</t>
  </si>
  <si>
    <t>TT2022 3023</t>
  </si>
  <si>
    <t>TT2022 1707</t>
  </si>
  <si>
    <t>TT2022 4452</t>
  </si>
  <si>
    <t>TT2022 8170</t>
  </si>
  <si>
    <t>TT2022 5498</t>
  </si>
  <si>
    <t>TT2022 3782</t>
  </si>
  <si>
    <t>TT2022 2796</t>
  </si>
  <si>
    <t>TT2022 7828</t>
  </si>
  <si>
    <t>TT2022 9518</t>
  </si>
  <si>
    <t>TT2022 1269</t>
  </si>
  <si>
    <t>TT2022 7652</t>
  </si>
  <si>
    <t>TT2022 3592</t>
  </si>
  <si>
    <t>TT2022 3108</t>
  </si>
  <si>
    <t>TT2022 4234</t>
  </si>
  <si>
    <t>TT2022 4745</t>
  </si>
  <si>
    <t>TT2022 4432</t>
  </si>
  <si>
    <t>TT2022 8547</t>
  </si>
  <si>
    <t>TT2022 6216</t>
  </si>
  <si>
    <t>TT2022 7736</t>
  </si>
  <si>
    <t>TT2022 4639</t>
  </si>
  <si>
    <t>TT2022 7393</t>
  </si>
  <si>
    <t>TT2022 5618</t>
  </si>
  <si>
    <t>TT2022 1855</t>
  </si>
  <si>
    <t>TT2022 1336</t>
  </si>
  <si>
    <t>TT2022 2069</t>
  </si>
  <si>
    <t>TT2022 6944</t>
  </si>
  <si>
    <t>TT2022 1257</t>
  </si>
  <si>
    <t>TT2022 2146</t>
  </si>
  <si>
    <t>TT2022 1370</t>
  </si>
  <si>
    <t>TT2022 7486</t>
  </si>
  <si>
    <t>TT2022 2521</t>
  </si>
  <si>
    <t>TT2022 5869</t>
  </si>
  <si>
    <t>TT2022 3171</t>
  </si>
  <si>
    <t>TT2022 4647</t>
  </si>
  <si>
    <t>TT2022 5972</t>
  </si>
  <si>
    <t>TT2022 3153</t>
  </si>
  <si>
    <t>TT2022 3817</t>
  </si>
  <si>
    <t>TT2022 4990</t>
  </si>
  <si>
    <t>TT2022 5347</t>
  </si>
  <si>
    <t>TT2022 6230</t>
  </si>
  <si>
    <t>TT2022 1406</t>
  </si>
  <si>
    <t>TT2022 4188</t>
  </si>
  <si>
    <t>TT2022 4725</t>
  </si>
  <si>
    <t>TT2022 8435</t>
  </si>
  <si>
    <t>TT2022 2543</t>
  </si>
  <si>
    <t>TT2022 7540</t>
  </si>
  <si>
    <t>TT2022 2845</t>
  </si>
  <si>
    <t>TT2022 8157</t>
  </si>
  <si>
    <t>TT2022 5782</t>
  </si>
  <si>
    <t>TT2022 1000</t>
  </si>
  <si>
    <t>TT2022 9577</t>
  </si>
  <si>
    <t>TT2022 5626</t>
  </si>
  <si>
    <t>TT2022 6983</t>
  </si>
  <si>
    <t>TT2022 3230</t>
  </si>
  <si>
    <t>TT2022 7954</t>
  </si>
  <si>
    <t>TT2022 5526</t>
  </si>
  <si>
    <t>TT2022 4912</t>
  </si>
  <si>
    <t>TT2022 5704</t>
  </si>
  <si>
    <t>TT2022 2771</t>
  </si>
  <si>
    <t>TT2022 9898</t>
  </si>
  <si>
    <t>TT2022 4849</t>
  </si>
  <si>
    <t>TT2022 4932</t>
  </si>
  <si>
    <t>TT2022 7468</t>
  </si>
  <si>
    <t>TT2022 6824</t>
  </si>
  <si>
    <t>TT2022 4418</t>
  </si>
  <si>
    <t>TT2022 4483</t>
  </si>
  <si>
    <t>TT2022 6760</t>
  </si>
  <si>
    <t>TT2022 3823</t>
  </si>
  <si>
    <t>TT2022 3376</t>
  </si>
  <si>
    <t>TT2022 6253</t>
  </si>
  <si>
    <t>TT2022 8593</t>
  </si>
  <si>
    <t>TT2022 9649</t>
  </si>
  <si>
    <t>TT2022 2529</t>
  </si>
  <si>
    <t>TT2022 2374</t>
  </si>
  <si>
    <t>TT2022 4439</t>
  </si>
  <si>
    <t>TT2022 9763</t>
  </si>
  <si>
    <t>TT2022 6811</t>
  </si>
  <si>
    <t>TT2022 8489</t>
  </si>
  <si>
    <t>TT2022 7241</t>
  </si>
  <si>
    <t>TT2022 9711</t>
  </si>
  <si>
    <t>TT2022 1874</t>
  </si>
  <si>
    <t>TT2022 8592</t>
  </si>
  <si>
    <t>TT2022 3280</t>
  </si>
  <si>
    <t>TT2022 2273</t>
  </si>
  <si>
    <t>TT2022 7912</t>
  </si>
  <si>
    <t>TT2022 4616</t>
  </si>
  <si>
    <t>TT2022 6030</t>
  </si>
  <si>
    <t>TT2022 7482</t>
  </si>
  <si>
    <t>TT2022 3867</t>
  </si>
  <si>
    <t>TT2022 9235</t>
  </si>
  <si>
    <t>TT2022 1768</t>
  </si>
  <si>
    <t>TT2022 7273</t>
  </si>
  <si>
    <t>TT2022 4809</t>
  </si>
  <si>
    <t>TT2022 1330</t>
  </si>
  <si>
    <t>TT2022 5810</t>
  </si>
  <si>
    <t>TT2022 3063</t>
  </si>
  <si>
    <t>TT2022 8681</t>
  </si>
  <si>
    <t>TT2022 2598</t>
  </si>
  <si>
    <t>TT2022 6122</t>
  </si>
  <si>
    <t>TT2022 1339</t>
  </si>
  <si>
    <t>TT2022 7307</t>
  </si>
  <si>
    <t>TT2022 6446</t>
  </si>
  <si>
    <t>TT2022 2939</t>
  </si>
  <si>
    <t>TT2022 7382</t>
  </si>
  <si>
    <t>TT2022 4749</t>
  </si>
  <si>
    <t>TT2022 5337</t>
  </si>
  <si>
    <t>TT2022 9311</t>
  </si>
  <si>
    <t>TT2022 4026</t>
  </si>
  <si>
    <t>TT2022 9966</t>
  </si>
  <si>
    <t>TT2022 8499</t>
  </si>
  <si>
    <t>TT2022 1046</t>
  </si>
  <si>
    <t>TT2022 9427</t>
  </si>
  <si>
    <t>TT2022 5581</t>
  </si>
  <si>
    <t>TT2022 6060</t>
  </si>
  <si>
    <t>TT2022 3674</t>
  </si>
  <si>
    <t>TT2022 5826</t>
  </si>
  <si>
    <t>TT2022 3639</t>
  </si>
  <si>
    <t>TT2022 8470</t>
  </si>
  <si>
    <t>TT2022 2243</t>
  </si>
  <si>
    <t>TT2022 9305</t>
  </si>
  <si>
    <t>TT2022 1171</t>
  </si>
  <si>
    <t>TT2022 7632</t>
  </si>
  <si>
    <t>TT2022 6201</t>
  </si>
  <si>
    <t>TT2022 4857</t>
  </si>
  <si>
    <t>TT2022 7055</t>
  </si>
  <si>
    <t>TT2022 6918</t>
  </si>
  <si>
    <t>TT2022 9182</t>
  </si>
  <si>
    <t>TT2022 7538</t>
  </si>
  <si>
    <t>TT2022 9775</t>
  </si>
  <si>
    <t>TT2022 1121</t>
  </si>
  <si>
    <t>TT2022 1762</t>
  </si>
  <si>
    <t>TT2022 7205</t>
  </si>
  <si>
    <t>TT2022 3899</t>
  </si>
  <si>
    <t>TT2022 3907</t>
  </si>
  <si>
    <t>TT2022 5437</t>
  </si>
  <si>
    <t>TT2022 5803</t>
  </si>
  <si>
    <t>TT2022 8439</t>
  </si>
  <si>
    <t>TT2022 6310</t>
  </si>
  <si>
    <t>TT2022 3505</t>
  </si>
  <si>
    <t>TT2022 8021</t>
  </si>
  <si>
    <t>TT2022 3532</t>
  </si>
  <si>
    <t>TT2022 3892</t>
  </si>
  <si>
    <t>TT2022 3495</t>
  </si>
  <si>
    <t>TT2022 9442</t>
  </si>
  <si>
    <t>TT2022 6754</t>
  </si>
  <si>
    <t>TT2022 6288</t>
  </si>
  <si>
    <t>TT2022 6073</t>
  </si>
  <si>
    <t>TT2022 7919</t>
  </si>
  <si>
    <t>TT2022 8174</t>
  </si>
  <si>
    <t>TT2022 9565</t>
  </si>
  <si>
    <t>TT2022 4013</t>
  </si>
  <si>
    <t>TT2022 4291</t>
  </si>
  <si>
    <t>TT2022 3439</t>
  </si>
  <si>
    <t>TT2022 9011</t>
  </si>
  <si>
    <t>TT2022 5390</t>
  </si>
  <si>
    <t>TT2022 7509</t>
  </si>
  <si>
    <t>TT2022 2157</t>
  </si>
  <si>
    <t>TT2022 5830</t>
  </si>
  <si>
    <t>TT2022 5344</t>
  </si>
  <si>
    <t>TT2022 8573</t>
  </si>
  <si>
    <t>Electronics</t>
  </si>
  <si>
    <t>Computer Science</t>
  </si>
  <si>
    <t>Maths</t>
  </si>
  <si>
    <t>Chemical</t>
  </si>
  <si>
    <t>Engineering Physics</t>
  </si>
  <si>
    <t>Instrumentation</t>
  </si>
  <si>
    <t>Department</t>
  </si>
  <si>
    <t>Power Generation in (Watts)</t>
  </si>
  <si>
    <t>T-86154</t>
  </si>
  <si>
    <t>T-83141</t>
  </si>
  <si>
    <t>T-4051</t>
  </si>
  <si>
    <t>T-50714</t>
  </si>
  <si>
    <t>T-68051</t>
  </si>
  <si>
    <t>T-9974</t>
  </si>
  <si>
    <t>T-27752</t>
  </si>
  <si>
    <t>T-16651</t>
  </si>
  <si>
    <t>T-98592</t>
  </si>
  <si>
    <t>T-6920</t>
  </si>
  <si>
    <t>T-86232</t>
  </si>
  <si>
    <t>T-9141</t>
  </si>
  <si>
    <t>T-54461</t>
  </si>
  <si>
    <t>T-32276</t>
  </si>
  <si>
    <t>T-75519</t>
  </si>
  <si>
    <t>T-37288</t>
  </si>
  <si>
    <t>T-83998</t>
  </si>
  <si>
    <t>T-74238</t>
  </si>
  <si>
    <t>T-12858</t>
  </si>
  <si>
    <t>T-88522</t>
  </si>
  <si>
    <t>T-69332</t>
  </si>
  <si>
    <t>T-18860</t>
  </si>
  <si>
    <t>T-35297</t>
  </si>
  <si>
    <t>T-4113</t>
  </si>
  <si>
    <t>T-18423</t>
  </si>
  <si>
    <t>T-36002</t>
  </si>
  <si>
    <t>T-63875</t>
  </si>
  <si>
    <t>T-34245</t>
  </si>
  <si>
    <t>T-98790</t>
  </si>
  <si>
    <t>T-45549</t>
  </si>
  <si>
    <t>T-84815</t>
  </si>
  <si>
    <t>T-21802</t>
  </si>
  <si>
    <t>T-79809</t>
  </si>
  <si>
    <t>T-28582</t>
  </si>
  <si>
    <t>T-34021</t>
  </si>
  <si>
    <t>T-15179</t>
  </si>
  <si>
    <t>T-35514</t>
  </si>
  <si>
    <t>T-88078</t>
  </si>
  <si>
    <t>T-48554</t>
  </si>
  <si>
    <t>T-34502</t>
  </si>
  <si>
    <t>T-72130</t>
  </si>
  <si>
    <t>T-3443</t>
  </si>
  <si>
    <t>T-59794</t>
  </si>
  <si>
    <t>T-52332</t>
  </si>
  <si>
    <t>T-817</t>
  </si>
  <si>
    <t>T-40180</t>
  </si>
  <si>
    <t>T-43935</t>
  </si>
  <si>
    <t>T-90168</t>
  </si>
  <si>
    <t>T-8760</t>
  </si>
  <si>
    <t>T-17518</t>
  </si>
  <si>
    <t>T-59599</t>
  </si>
  <si>
    <t>T-68639</t>
  </si>
  <si>
    <t>T-34232</t>
  </si>
  <si>
    <t>T-42763</t>
  </si>
  <si>
    <t>T-1701</t>
  </si>
  <si>
    <t>T-1204</t>
  </si>
  <si>
    <t>T-22551</t>
  </si>
  <si>
    <t>T-83003</t>
  </si>
  <si>
    <t>T-41560</t>
  </si>
  <si>
    <t>T-18770</t>
  </si>
  <si>
    <t>T-88751</t>
  </si>
  <si>
    <t>T-73425</t>
  </si>
  <si>
    <t>T-16829</t>
  </si>
  <si>
    <t>T-86036</t>
  </si>
  <si>
    <t>T-13872</t>
  </si>
  <si>
    <t>T-91392</t>
  </si>
  <si>
    <t>T-97473</t>
  </si>
  <si>
    <t>T-74497</t>
  </si>
  <si>
    <t>T-11773</t>
  </si>
  <si>
    <t>T-42215</t>
  </si>
  <si>
    <t>T-58182</t>
  </si>
  <si>
    <t>T-50892</t>
  </si>
  <si>
    <t>T-71004</t>
  </si>
  <si>
    <t>T-79586</t>
  </si>
  <si>
    <t>T-71326</t>
  </si>
  <si>
    <t>T-26306</t>
  </si>
  <si>
    <t>T-14349</t>
  </si>
  <si>
    <t>T-23288</t>
  </si>
  <si>
    <t>T-73838</t>
  </si>
  <si>
    <t>T-81531</t>
  </si>
  <si>
    <t>T-41087</t>
  </si>
  <si>
    <t>T-87335</t>
  </si>
  <si>
    <t>T-2792</t>
  </si>
  <si>
    <t>T-92798</t>
  </si>
  <si>
    <t>T-31361</t>
  </si>
  <si>
    <t>T-53513</t>
  </si>
  <si>
    <t>T-11416</t>
  </si>
  <si>
    <t>T-85910</t>
  </si>
  <si>
    <t>T-98837</t>
  </si>
  <si>
    <t>T-48180</t>
  </si>
  <si>
    <t>T-11889</t>
  </si>
  <si>
    <t>T-77286</t>
  </si>
  <si>
    <t>T-94393</t>
  </si>
  <si>
    <t>T-13943</t>
  </si>
  <si>
    <t>T-94786</t>
  </si>
  <si>
    <t>T-35958</t>
  </si>
  <si>
    <t>T-90323</t>
  </si>
  <si>
    <t>T-41283</t>
  </si>
  <si>
    <t>T-63631</t>
  </si>
  <si>
    <t>T-55494</t>
  </si>
  <si>
    <t>T-14556</t>
  </si>
  <si>
    <t>T-66883</t>
  </si>
  <si>
    <t>T-5908</t>
  </si>
  <si>
    <t>T-48326</t>
  </si>
  <si>
    <t>T-62703</t>
  </si>
  <si>
    <t>T-99249</t>
  </si>
  <si>
    <t>T-17421</t>
  </si>
  <si>
    <t>T-50977</t>
  </si>
  <si>
    <t>T-24660</t>
  </si>
  <si>
    <t>T-70752</t>
  </si>
  <si>
    <t>T-68299</t>
  </si>
  <si>
    <t>T-70063</t>
  </si>
  <si>
    <t>T-82482</t>
  </si>
  <si>
    <t>T-13095</t>
  </si>
  <si>
    <t>T-74399</t>
  </si>
  <si>
    <t>T-99369</t>
  </si>
  <si>
    <t>T-95603</t>
  </si>
  <si>
    <t>T-60044</t>
  </si>
  <si>
    <t>T-49977</t>
  </si>
  <si>
    <t>T-36655</t>
  </si>
  <si>
    <t>T-61606</t>
  </si>
  <si>
    <t>T-6933</t>
  </si>
  <si>
    <t>T-88613</t>
  </si>
  <si>
    <t>T-35419</t>
  </si>
  <si>
    <t>T-78419</t>
  </si>
  <si>
    <t>T-38312</t>
  </si>
  <si>
    <t>T-17695</t>
  </si>
  <si>
    <t>T-74849</t>
  </si>
  <si>
    <t>T-81003</t>
  </si>
  <si>
    <t>T-38988</t>
  </si>
  <si>
    <t>T-49476</t>
  </si>
  <si>
    <t>T-25357</t>
  </si>
  <si>
    <t>T-25347</t>
  </si>
  <si>
    <t>T-83096</t>
  </si>
  <si>
    <t>T-57008</t>
  </si>
  <si>
    <t>T-15076</t>
  </si>
  <si>
    <t>T-17962</t>
  </si>
  <si>
    <t>T-33354</t>
  </si>
  <si>
    <t>T-16909</t>
  </si>
  <si>
    <t>T-27602</t>
  </si>
  <si>
    <t>T-44378</t>
  </si>
  <si>
    <t>T-46065</t>
  </si>
  <si>
    <t>Metrics</t>
  </si>
  <si>
    <t>Variable Cost</t>
  </si>
  <si>
    <t>Cost of material</t>
  </si>
  <si>
    <t>Packaging Charges</t>
  </si>
  <si>
    <t>GST</t>
  </si>
  <si>
    <t>GMV</t>
  </si>
  <si>
    <t>Gross Profit</t>
  </si>
  <si>
    <t>Topline</t>
  </si>
  <si>
    <t>Sales Tax</t>
  </si>
  <si>
    <t>Rent</t>
  </si>
  <si>
    <t>Salary</t>
  </si>
  <si>
    <t>Broadband Charges</t>
  </si>
  <si>
    <t>Branding Activities</t>
  </si>
  <si>
    <t>Software Charges</t>
  </si>
  <si>
    <t>Website Hosting</t>
  </si>
  <si>
    <t>Fixed Cost</t>
  </si>
  <si>
    <t>EBITDA</t>
  </si>
  <si>
    <t>Depreciation</t>
  </si>
  <si>
    <t>Amortization</t>
  </si>
  <si>
    <t>EBIT</t>
  </si>
  <si>
    <t>Interest</t>
  </si>
  <si>
    <t>EBT</t>
  </si>
  <si>
    <t>Tax</t>
  </si>
  <si>
    <t>Net Profit</t>
  </si>
  <si>
    <t>Total Variable Cost</t>
  </si>
  <si>
    <t>Total Fixed Cost</t>
  </si>
  <si>
    <t>Performance Marketing</t>
  </si>
  <si>
    <t>SPJ Enterprize</t>
  </si>
  <si>
    <t>Overall 2000</t>
  </si>
  <si>
    <t>Overall 2001</t>
  </si>
  <si>
    <t>Overall 2002</t>
  </si>
  <si>
    <t>Overall 2003</t>
  </si>
  <si>
    <t>Overall 2004</t>
  </si>
  <si>
    <t>Overall 2005</t>
  </si>
  <si>
    <t>Overall 2006</t>
  </si>
  <si>
    <t>Overall 2007</t>
  </si>
  <si>
    <t>Overall 2008</t>
  </si>
  <si>
    <t>Overall 2009</t>
  </si>
  <si>
    <t>Overall 2010</t>
  </si>
  <si>
    <t>Average</t>
  </si>
  <si>
    <t xml:space="preserve">Best performance  Turbine
(T-2792)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</si>
</sst>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€-2]\ #,##0.00"/>
    <numFmt numFmtId="166" formatCode="[$-F400]h:mm:ss\ AM/PM"/>
    <numFmt numFmtId="167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7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0" xfId="0" applyNumberFormat="1"/>
    <xf numFmtId="166" fontId="0" fillId="6" borderId="1" xfId="1" applyNumberFormat="1" applyFont="1" applyFill="1" applyBorder="1" applyAlignment="1">
      <alignment horizontal="center"/>
    </xf>
    <xf numFmtId="2" fontId="0" fillId="6" borderId="1" xfId="0" applyNumberFormat="1" applyFill="1" applyBorder="1"/>
    <xf numFmtId="2" fontId="0" fillId="0" borderId="1" xfId="0" applyNumberFormat="1" applyBorder="1"/>
    <xf numFmtId="17" fontId="0" fillId="0" borderId="1" xfId="0" applyNumberFormat="1" applyBorder="1"/>
    <xf numFmtId="166" fontId="0" fillId="5" borderId="1" xfId="1" applyNumberFormat="1" applyFont="1" applyFill="1" applyBorder="1" applyAlignment="1">
      <alignment horizontal="center" wrapText="1"/>
    </xf>
    <xf numFmtId="2" fontId="0" fillId="5" borderId="1" xfId="0" applyNumberFormat="1" applyFill="1" applyBorder="1"/>
    <xf numFmtId="167" fontId="0" fillId="2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17" fontId="0" fillId="0" borderId="1" xfId="0" applyNumberFormat="1" applyBorder="1" applyAlignment="1">
      <alignment horizontal="center" wrapText="1"/>
    </xf>
    <xf numFmtId="1" fontId="0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7" fontId="0" fillId="0" borderId="1" xfId="0" applyNumberFormat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167" fontId="0" fillId="7" borderId="1" xfId="1" applyNumberFormat="1" applyFont="1" applyFill="1" applyBorder="1" applyAlignment="1">
      <alignment horizontal="center"/>
    </xf>
    <xf numFmtId="167" fontId="0" fillId="7" borderId="1" xfId="1" applyNumberFormat="1" applyFont="1" applyFill="1" applyBorder="1" applyAlignment="1">
      <alignment horizontal="center" wrapText="1"/>
    </xf>
    <xf numFmtId="0" fontId="0" fillId="8" borderId="0" xfId="0" applyFill="1"/>
    <xf numFmtId="0" fontId="0" fillId="8" borderId="0" xfId="0" applyFill="1" applyAlignment="1">
      <alignment wrapText="1"/>
    </xf>
    <xf numFmtId="167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harol\Documents\Practice%20Workbook\Sample%20Data\sampledatawork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dataworkorde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885D-73DE-C747-B40C-15AACEAB25B7}">
  <dimension ref="A1:I245"/>
  <sheetViews>
    <sheetView showGridLines="0" workbookViewId="0">
      <selection activeCell="I1" sqref="I1:I1048576"/>
    </sheetView>
  </sheetViews>
  <sheetFormatPr defaultColWidth="10.69921875" defaultRowHeight="15.6" outlineLevelCol="1" x14ac:dyDescent="0.3"/>
  <cols>
    <col min="6" max="7" width="10.69921875" customWidth="1" outlineLevel="1"/>
    <col min="8" max="8" width="13.8984375" customWidth="1"/>
    <col min="9" max="9" width="21.3984375" customWidth="1"/>
    <col min="14" max="14" width="12" bestFit="1" customWidth="1"/>
    <col min="15" max="15" width="18.199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5</v>
      </c>
      <c r="H1" s="2" t="s">
        <v>6</v>
      </c>
      <c r="I1" s="2" t="s">
        <v>17</v>
      </c>
    </row>
    <row r="2" spans="1:9" x14ac:dyDescent="0.3">
      <c r="A2" s="3">
        <v>43831</v>
      </c>
      <c r="B2" s="2" t="s">
        <v>7</v>
      </c>
      <c r="C2" s="2" t="s">
        <v>8</v>
      </c>
      <c r="D2" s="2" t="s">
        <v>9</v>
      </c>
      <c r="E2" s="2">
        <v>33</v>
      </c>
      <c r="F2" s="4">
        <v>1.4873949579831931</v>
      </c>
      <c r="G2" s="4">
        <v>1.7699999999999998</v>
      </c>
      <c r="H2" s="4">
        <v>58.41</v>
      </c>
      <c r="I2" s="5">
        <f>(G2-F2)/F2</f>
        <v>0.19</v>
      </c>
    </row>
    <row r="3" spans="1:9" x14ac:dyDescent="0.3">
      <c r="A3" s="3">
        <v>43834</v>
      </c>
      <c r="B3" s="2" t="s">
        <v>7</v>
      </c>
      <c r="C3" s="2" t="s">
        <v>8</v>
      </c>
      <c r="D3" s="2" t="s">
        <v>10</v>
      </c>
      <c r="E3" s="2">
        <v>87</v>
      </c>
      <c r="F3" s="4">
        <v>2.9327731092436973</v>
      </c>
      <c r="G3" s="4">
        <v>3.4899999999999998</v>
      </c>
      <c r="H3" s="4">
        <v>303.63</v>
      </c>
      <c r="I3" s="5">
        <f t="shared" ref="I3:I66" si="0">(G3-F3)/F3</f>
        <v>0.19</v>
      </c>
    </row>
    <row r="4" spans="1:9" x14ac:dyDescent="0.3">
      <c r="A4" s="3">
        <v>43837</v>
      </c>
      <c r="B4" s="2" t="s">
        <v>11</v>
      </c>
      <c r="C4" s="2" t="s">
        <v>12</v>
      </c>
      <c r="D4" s="2" t="s">
        <v>13</v>
      </c>
      <c r="E4" s="2">
        <v>58</v>
      </c>
      <c r="F4" s="4">
        <v>1.747663551401869</v>
      </c>
      <c r="G4" s="4">
        <v>1.8699999999999999</v>
      </c>
      <c r="H4" s="4">
        <v>108.46</v>
      </c>
      <c r="I4" s="5">
        <f t="shared" si="0"/>
        <v>7.0000000000000021E-2</v>
      </c>
    </row>
    <row r="5" spans="1:9" x14ac:dyDescent="0.3">
      <c r="A5" s="3">
        <v>43840</v>
      </c>
      <c r="B5" s="2" t="s">
        <v>7</v>
      </c>
      <c r="C5" s="2" t="s">
        <v>14</v>
      </c>
      <c r="D5" s="2" t="s">
        <v>13</v>
      </c>
      <c r="E5" s="2">
        <v>82</v>
      </c>
      <c r="F5" s="4">
        <v>1.669642857142857</v>
      </c>
      <c r="G5" s="4">
        <v>1.87</v>
      </c>
      <c r="H5" s="4">
        <v>153.34</v>
      </c>
      <c r="I5" s="5">
        <f t="shared" si="0"/>
        <v>0.12000000000000018</v>
      </c>
    </row>
    <row r="6" spans="1:9" x14ac:dyDescent="0.3">
      <c r="A6" s="3">
        <v>43843</v>
      </c>
      <c r="B6" s="2" t="s">
        <v>7</v>
      </c>
      <c r="C6" s="2" t="s">
        <v>8</v>
      </c>
      <c r="D6" s="2" t="s">
        <v>13</v>
      </c>
      <c r="E6" s="2">
        <v>38</v>
      </c>
      <c r="F6" s="4">
        <v>2.0566037735849059</v>
      </c>
      <c r="G6" s="4">
        <v>2.1800000000000002</v>
      </c>
      <c r="H6" s="4">
        <v>82.84</v>
      </c>
      <c r="I6" s="5">
        <f t="shared" si="0"/>
        <v>5.999999999999997E-2</v>
      </c>
    </row>
    <row r="7" spans="1:9" x14ac:dyDescent="0.3">
      <c r="A7" s="3">
        <v>43846</v>
      </c>
      <c r="B7" s="2" t="s">
        <v>7</v>
      </c>
      <c r="C7" s="2" t="s">
        <v>8</v>
      </c>
      <c r="D7" s="2" t="s">
        <v>9</v>
      </c>
      <c r="E7" s="2">
        <v>54</v>
      </c>
      <c r="F7" s="4">
        <v>1.5803571428571428</v>
      </c>
      <c r="G7" s="4">
        <v>1.77</v>
      </c>
      <c r="H7" s="4">
        <v>95.58</v>
      </c>
      <c r="I7" s="5">
        <f t="shared" si="0"/>
        <v>0.12000000000000005</v>
      </c>
    </row>
    <row r="8" spans="1:9" x14ac:dyDescent="0.3">
      <c r="A8" s="3">
        <v>43849</v>
      </c>
      <c r="B8" s="2" t="s">
        <v>7</v>
      </c>
      <c r="C8" s="2" t="s">
        <v>8</v>
      </c>
      <c r="D8" s="2" t="s">
        <v>10</v>
      </c>
      <c r="E8" s="2">
        <v>149</v>
      </c>
      <c r="F8" s="4">
        <v>3.0614035087719293</v>
      </c>
      <c r="G8" s="4">
        <v>3.4899999999999998</v>
      </c>
      <c r="H8" s="4">
        <v>520.01</v>
      </c>
      <c r="I8" s="5">
        <f t="shared" si="0"/>
        <v>0.1400000000000001</v>
      </c>
    </row>
    <row r="9" spans="1:9" x14ac:dyDescent="0.3">
      <c r="A9" s="3">
        <v>43852</v>
      </c>
      <c r="B9" s="2" t="s">
        <v>11</v>
      </c>
      <c r="C9" s="2" t="s">
        <v>12</v>
      </c>
      <c r="D9" s="2" t="s">
        <v>9</v>
      </c>
      <c r="E9" s="2">
        <v>51</v>
      </c>
      <c r="F9" s="4">
        <v>1.6090909090909089</v>
      </c>
      <c r="G9" s="4">
        <v>1.77</v>
      </c>
      <c r="H9" s="4">
        <v>90.27</v>
      </c>
      <c r="I9" s="5">
        <f t="shared" si="0"/>
        <v>0.10000000000000014</v>
      </c>
    </row>
    <row r="10" spans="1:9" x14ac:dyDescent="0.3">
      <c r="A10" s="3">
        <v>43855</v>
      </c>
      <c r="B10" s="2" t="s">
        <v>7</v>
      </c>
      <c r="C10" s="2" t="s">
        <v>14</v>
      </c>
      <c r="D10" s="2" t="s">
        <v>9</v>
      </c>
      <c r="E10" s="2">
        <v>100</v>
      </c>
      <c r="F10" s="4">
        <v>1.7352941176470589</v>
      </c>
      <c r="G10" s="4">
        <v>1.77</v>
      </c>
      <c r="H10" s="4">
        <v>177</v>
      </c>
      <c r="I10" s="5">
        <f t="shared" si="0"/>
        <v>1.999999999999998E-2</v>
      </c>
    </row>
    <row r="11" spans="1:9" x14ac:dyDescent="0.3">
      <c r="A11" s="3">
        <v>43858</v>
      </c>
      <c r="B11" s="2" t="s">
        <v>7</v>
      </c>
      <c r="C11" s="2" t="s">
        <v>14</v>
      </c>
      <c r="D11" s="2" t="s">
        <v>15</v>
      </c>
      <c r="E11" s="2">
        <v>28</v>
      </c>
      <c r="F11" s="4">
        <v>1.2053571428571428</v>
      </c>
      <c r="G11" s="4">
        <v>1.35</v>
      </c>
      <c r="H11" s="4">
        <v>37.800000000000004</v>
      </c>
      <c r="I11" s="5">
        <f t="shared" si="0"/>
        <v>0.12000000000000013</v>
      </c>
    </row>
    <row r="12" spans="1:9" x14ac:dyDescent="0.3">
      <c r="A12" s="3">
        <v>43861</v>
      </c>
      <c r="B12" s="2" t="s">
        <v>7</v>
      </c>
      <c r="C12" s="2" t="s">
        <v>8</v>
      </c>
      <c r="D12" s="2" t="s">
        <v>13</v>
      </c>
      <c r="E12" s="2">
        <v>36</v>
      </c>
      <c r="F12" s="4">
        <v>1.9464285714285714</v>
      </c>
      <c r="G12" s="4">
        <v>2.1800000000000002</v>
      </c>
      <c r="H12" s="4">
        <v>78.48</v>
      </c>
      <c r="I12" s="5">
        <f t="shared" si="0"/>
        <v>0.12000000000000011</v>
      </c>
    </row>
    <row r="13" spans="1:9" x14ac:dyDescent="0.3">
      <c r="A13" s="3">
        <v>43864</v>
      </c>
      <c r="B13" s="2" t="s">
        <v>7</v>
      </c>
      <c r="C13" s="2" t="s">
        <v>8</v>
      </c>
      <c r="D13" s="2" t="s">
        <v>13</v>
      </c>
      <c r="E13" s="2">
        <v>31</v>
      </c>
      <c r="F13" s="4">
        <v>1.5583333333333333</v>
      </c>
      <c r="G13" s="4">
        <v>1.8699999999999999</v>
      </c>
      <c r="H13" s="4">
        <v>57.97</v>
      </c>
      <c r="I13" s="5">
        <f t="shared" si="0"/>
        <v>0.19999999999999993</v>
      </c>
    </row>
    <row r="14" spans="1:9" x14ac:dyDescent="0.3">
      <c r="A14" s="3">
        <v>43867</v>
      </c>
      <c r="B14" s="2" t="s">
        <v>7</v>
      </c>
      <c r="C14" s="2" t="s">
        <v>8</v>
      </c>
      <c r="D14" s="2" t="s">
        <v>10</v>
      </c>
      <c r="E14" s="2">
        <v>28</v>
      </c>
      <c r="F14" s="4">
        <v>2.9083333333333332</v>
      </c>
      <c r="G14" s="4">
        <v>3.4899999999999998</v>
      </c>
      <c r="H14" s="4">
        <v>97.72</v>
      </c>
      <c r="I14" s="5">
        <f t="shared" si="0"/>
        <v>0.19999999999999996</v>
      </c>
    </row>
    <row r="15" spans="1:9" x14ac:dyDescent="0.3">
      <c r="A15" s="3">
        <v>43870</v>
      </c>
      <c r="B15" s="2" t="s">
        <v>11</v>
      </c>
      <c r="C15" s="2" t="s">
        <v>12</v>
      </c>
      <c r="D15" s="2" t="s">
        <v>9</v>
      </c>
      <c r="E15" s="2">
        <v>44</v>
      </c>
      <c r="F15" s="4">
        <v>1.4749999999999999</v>
      </c>
      <c r="G15" s="4">
        <v>1.7699999999999998</v>
      </c>
      <c r="H15" s="4">
        <v>77.88</v>
      </c>
      <c r="I15" s="5">
        <f t="shared" si="0"/>
        <v>0.19999999999999998</v>
      </c>
    </row>
    <row r="16" spans="1:9" x14ac:dyDescent="0.3">
      <c r="A16" s="3">
        <v>43873</v>
      </c>
      <c r="B16" s="2" t="s">
        <v>7</v>
      </c>
      <c r="C16" s="2" t="s">
        <v>14</v>
      </c>
      <c r="D16" s="2" t="s">
        <v>9</v>
      </c>
      <c r="E16" s="2">
        <v>23</v>
      </c>
      <c r="F16" s="4">
        <v>1.5945945945945945</v>
      </c>
      <c r="G16" s="4">
        <v>1.77</v>
      </c>
      <c r="H16" s="4">
        <v>40.71</v>
      </c>
      <c r="I16" s="5">
        <f t="shared" si="0"/>
        <v>0.11000000000000007</v>
      </c>
    </row>
    <row r="17" spans="1:9" x14ac:dyDescent="0.3">
      <c r="A17" s="3">
        <v>43876</v>
      </c>
      <c r="B17" s="2" t="s">
        <v>7</v>
      </c>
      <c r="C17" s="2" t="s">
        <v>14</v>
      </c>
      <c r="D17" s="2" t="s">
        <v>15</v>
      </c>
      <c r="E17" s="2">
        <v>27</v>
      </c>
      <c r="F17" s="4">
        <v>1.2980769230769231</v>
      </c>
      <c r="G17" s="4">
        <v>1.35</v>
      </c>
      <c r="H17" s="4">
        <v>36.450000000000003</v>
      </c>
      <c r="I17" s="5">
        <f t="shared" si="0"/>
        <v>4.0000000000000029E-2</v>
      </c>
    </row>
    <row r="18" spans="1:9" x14ac:dyDescent="0.3">
      <c r="A18" s="3">
        <v>43879</v>
      </c>
      <c r="B18" s="2" t="s">
        <v>7</v>
      </c>
      <c r="C18" s="2" t="s">
        <v>8</v>
      </c>
      <c r="D18" s="2" t="s">
        <v>13</v>
      </c>
      <c r="E18" s="2">
        <v>43</v>
      </c>
      <c r="F18" s="4">
        <v>1.847457627118644</v>
      </c>
      <c r="G18" s="4">
        <v>2.1799999999999997</v>
      </c>
      <c r="H18" s="4">
        <v>93.739999999999981</v>
      </c>
      <c r="I18" s="5">
        <f t="shared" si="0"/>
        <v>0.17999999999999988</v>
      </c>
    </row>
    <row r="19" spans="1:9" x14ac:dyDescent="0.3">
      <c r="A19" s="3">
        <v>43882</v>
      </c>
      <c r="B19" s="2" t="s">
        <v>7</v>
      </c>
      <c r="C19" s="2" t="s">
        <v>8</v>
      </c>
      <c r="D19" s="2" t="s">
        <v>13</v>
      </c>
      <c r="E19" s="2">
        <v>123</v>
      </c>
      <c r="F19" s="4">
        <v>2.5132743362831858</v>
      </c>
      <c r="G19" s="4">
        <v>2.84</v>
      </c>
      <c r="H19" s="4">
        <v>349.32</v>
      </c>
      <c r="I19" s="5">
        <f t="shared" si="0"/>
        <v>0.12999999999999998</v>
      </c>
    </row>
    <row r="20" spans="1:9" x14ac:dyDescent="0.3">
      <c r="A20" s="3">
        <v>43885</v>
      </c>
      <c r="B20" s="2" t="s">
        <v>11</v>
      </c>
      <c r="C20" s="2" t="s">
        <v>12</v>
      </c>
      <c r="D20" s="2" t="s">
        <v>9</v>
      </c>
      <c r="E20" s="2">
        <v>42</v>
      </c>
      <c r="F20" s="4">
        <v>1.7980769230769231</v>
      </c>
      <c r="G20" s="4">
        <v>1.87</v>
      </c>
      <c r="H20" s="4">
        <v>78.540000000000006</v>
      </c>
      <c r="I20" s="5">
        <f t="shared" si="0"/>
        <v>4.0000000000000029E-2</v>
      </c>
    </row>
    <row r="21" spans="1:9" x14ac:dyDescent="0.3">
      <c r="A21" s="3">
        <v>43888</v>
      </c>
      <c r="B21" s="2" t="s">
        <v>11</v>
      </c>
      <c r="C21" s="2" t="s">
        <v>12</v>
      </c>
      <c r="D21" s="2" t="s">
        <v>13</v>
      </c>
      <c r="E21" s="2">
        <v>33</v>
      </c>
      <c r="F21" s="4">
        <v>2.7047619047619045</v>
      </c>
      <c r="G21" s="4">
        <v>2.84</v>
      </c>
      <c r="H21" s="4">
        <v>93.72</v>
      </c>
      <c r="I21" s="5">
        <f t="shared" si="0"/>
        <v>5.0000000000000058E-2</v>
      </c>
    </row>
    <row r="22" spans="1:9" x14ac:dyDescent="0.3">
      <c r="A22" s="3">
        <v>43892</v>
      </c>
      <c r="B22" s="2" t="s">
        <v>7</v>
      </c>
      <c r="C22" s="2" t="s">
        <v>14</v>
      </c>
      <c r="D22" s="2" t="s">
        <v>13</v>
      </c>
      <c r="E22" s="2">
        <v>85</v>
      </c>
      <c r="F22" s="4">
        <v>1.5982905982905984</v>
      </c>
      <c r="G22" s="4">
        <v>1.8699999999999999</v>
      </c>
      <c r="H22" s="4">
        <v>158.94999999999999</v>
      </c>
      <c r="I22" s="5">
        <f t="shared" si="0"/>
        <v>0.16999999999999985</v>
      </c>
    </row>
    <row r="23" spans="1:9" x14ac:dyDescent="0.3">
      <c r="A23" s="3">
        <v>43895</v>
      </c>
      <c r="B23" s="2" t="s">
        <v>11</v>
      </c>
      <c r="C23" s="2" t="s">
        <v>16</v>
      </c>
      <c r="D23" s="2" t="s">
        <v>13</v>
      </c>
      <c r="E23" s="2">
        <v>30</v>
      </c>
      <c r="F23" s="4">
        <v>2.3471074380165291</v>
      </c>
      <c r="G23" s="4">
        <v>2.8400000000000003</v>
      </c>
      <c r="H23" s="4">
        <v>85.2</v>
      </c>
      <c r="I23" s="5">
        <f t="shared" si="0"/>
        <v>0.21000000000000005</v>
      </c>
    </row>
    <row r="24" spans="1:9" x14ac:dyDescent="0.3">
      <c r="A24" s="3">
        <v>43898</v>
      </c>
      <c r="B24" s="2" t="s">
        <v>7</v>
      </c>
      <c r="C24" s="2" t="s">
        <v>8</v>
      </c>
      <c r="D24" s="2" t="s">
        <v>9</v>
      </c>
      <c r="E24" s="2">
        <v>61</v>
      </c>
      <c r="F24" s="4">
        <v>1.6698113207547169</v>
      </c>
      <c r="G24" s="4">
        <v>1.77</v>
      </c>
      <c r="H24" s="4">
        <v>107.97</v>
      </c>
      <c r="I24" s="5">
        <f t="shared" si="0"/>
        <v>6.0000000000000032E-2</v>
      </c>
    </row>
    <row r="25" spans="1:9" x14ac:dyDescent="0.3">
      <c r="A25" s="3">
        <v>43901</v>
      </c>
      <c r="B25" s="2" t="s">
        <v>7</v>
      </c>
      <c r="C25" s="2" t="s">
        <v>8</v>
      </c>
      <c r="D25" s="2" t="s">
        <v>10</v>
      </c>
      <c r="E25" s="2">
        <v>40</v>
      </c>
      <c r="F25" s="4">
        <v>3.0884955752212391</v>
      </c>
      <c r="G25" s="4">
        <v>3.4899999999999998</v>
      </c>
      <c r="H25" s="4">
        <v>139.6</v>
      </c>
      <c r="I25" s="5">
        <f t="shared" si="0"/>
        <v>0.12999999999999987</v>
      </c>
    </row>
    <row r="26" spans="1:9" x14ac:dyDescent="0.3">
      <c r="A26" s="3">
        <v>43904</v>
      </c>
      <c r="B26" s="2" t="s">
        <v>11</v>
      </c>
      <c r="C26" s="2" t="s">
        <v>12</v>
      </c>
      <c r="D26" s="2" t="s">
        <v>13</v>
      </c>
      <c r="E26" s="2">
        <v>86</v>
      </c>
      <c r="F26" s="4">
        <v>1.7155963302752291</v>
      </c>
      <c r="G26" s="4">
        <v>1.8699999999999999</v>
      </c>
      <c r="H26" s="4">
        <v>160.82</v>
      </c>
      <c r="I26" s="5">
        <f t="shared" si="0"/>
        <v>9.0000000000000122E-2</v>
      </c>
    </row>
    <row r="27" spans="1:9" x14ac:dyDescent="0.3">
      <c r="A27" s="3">
        <v>43907</v>
      </c>
      <c r="B27" s="2" t="s">
        <v>7</v>
      </c>
      <c r="C27" s="2" t="s">
        <v>14</v>
      </c>
      <c r="D27" s="2" t="s">
        <v>9</v>
      </c>
      <c r="E27" s="2">
        <v>38</v>
      </c>
      <c r="F27" s="4">
        <v>1.4508196721311477</v>
      </c>
      <c r="G27" s="4">
        <v>1.7700000000000002</v>
      </c>
      <c r="H27" s="4">
        <v>67.260000000000005</v>
      </c>
      <c r="I27" s="5">
        <f t="shared" si="0"/>
        <v>0.22000000000000003</v>
      </c>
    </row>
    <row r="28" spans="1:9" x14ac:dyDescent="0.3">
      <c r="A28" s="3">
        <v>43910</v>
      </c>
      <c r="B28" s="2" t="s">
        <v>7</v>
      </c>
      <c r="C28" s="2" t="s">
        <v>14</v>
      </c>
      <c r="D28" s="2" t="s">
        <v>15</v>
      </c>
      <c r="E28" s="2">
        <v>68</v>
      </c>
      <c r="F28" s="4">
        <v>1.4736842105263155</v>
      </c>
      <c r="G28" s="4">
        <v>1.68</v>
      </c>
      <c r="H28" s="4">
        <v>114.24</v>
      </c>
      <c r="I28" s="5">
        <f t="shared" si="0"/>
        <v>0.14000000000000018</v>
      </c>
    </row>
    <row r="29" spans="1:9" x14ac:dyDescent="0.3">
      <c r="A29" s="3">
        <v>43913</v>
      </c>
      <c r="B29" s="2" t="s">
        <v>11</v>
      </c>
      <c r="C29" s="2" t="s">
        <v>16</v>
      </c>
      <c r="D29" s="2" t="s">
        <v>13</v>
      </c>
      <c r="E29" s="2">
        <v>39</v>
      </c>
      <c r="F29" s="4">
        <v>1.5847457627118646</v>
      </c>
      <c r="G29" s="4">
        <v>1.87</v>
      </c>
      <c r="H29" s="4">
        <v>72.930000000000007</v>
      </c>
      <c r="I29" s="5">
        <f t="shared" si="0"/>
        <v>0.17999999999999991</v>
      </c>
    </row>
    <row r="30" spans="1:9" x14ac:dyDescent="0.3">
      <c r="A30" s="3">
        <v>43916</v>
      </c>
      <c r="B30" s="2" t="s">
        <v>7</v>
      </c>
      <c r="C30" s="2" t="s">
        <v>8</v>
      </c>
      <c r="D30" s="2" t="s">
        <v>9</v>
      </c>
      <c r="E30" s="2">
        <v>103</v>
      </c>
      <c r="F30" s="4">
        <v>1.5327868852459017</v>
      </c>
      <c r="G30" s="4">
        <v>1.87</v>
      </c>
      <c r="H30" s="4">
        <v>192.61</v>
      </c>
      <c r="I30" s="5">
        <f t="shared" si="0"/>
        <v>0.22000000000000003</v>
      </c>
    </row>
    <row r="31" spans="1:9" x14ac:dyDescent="0.3">
      <c r="A31" s="3">
        <v>43919</v>
      </c>
      <c r="B31" s="2" t="s">
        <v>7</v>
      </c>
      <c r="C31" s="2" t="s">
        <v>8</v>
      </c>
      <c r="D31" s="2" t="s">
        <v>13</v>
      </c>
      <c r="E31" s="2">
        <v>193</v>
      </c>
      <c r="F31" s="4">
        <v>2.7307692307692304</v>
      </c>
      <c r="G31" s="4">
        <v>2.84</v>
      </c>
      <c r="H31" s="4">
        <v>548.12</v>
      </c>
      <c r="I31" s="5">
        <f t="shared" si="0"/>
        <v>4.0000000000000091E-2</v>
      </c>
    </row>
    <row r="32" spans="1:9" x14ac:dyDescent="0.3">
      <c r="A32" s="3">
        <v>43922</v>
      </c>
      <c r="B32" s="2" t="s">
        <v>11</v>
      </c>
      <c r="C32" s="2" t="s">
        <v>12</v>
      </c>
      <c r="D32" s="2" t="s">
        <v>9</v>
      </c>
      <c r="E32" s="2">
        <v>58</v>
      </c>
      <c r="F32" s="4">
        <v>1.7184466019417475</v>
      </c>
      <c r="G32" s="4">
        <v>1.77</v>
      </c>
      <c r="H32" s="4">
        <v>102.66</v>
      </c>
      <c r="I32" s="5">
        <f t="shared" si="0"/>
        <v>3.0000000000000068E-2</v>
      </c>
    </row>
    <row r="33" spans="1:9" x14ac:dyDescent="0.3">
      <c r="A33" s="3">
        <v>43925</v>
      </c>
      <c r="B33" s="2" t="s">
        <v>11</v>
      </c>
      <c r="C33" s="2" t="s">
        <v>12</v>
      </c>
      <c r="D33" s="2" t="s">
        <v>15</v>
      </c>
      <c r="E33" s="2">
        <v>68</v>
      </c>
      <c r="F33" s="4">
        <v>1.4482758620689655</v>
      </c>
      <c r="G33" s="4">
        <v>1.68</v>
      </c>
      <c r="H33" s="4">
        <v>114.24</v>
      </c>
      <c r="I33" s="5">
        <f t="shared" si="0"/>
        <v>0.15999999999999995</v>
      </c>
    </row>
    <row r="34" spans="1:9" x14ac:dyDescent="0.3">
      <c r="A34" s="3">
        <v>43928</v>
      </c>
      <c r="B34" s="2" t="s">
        <v>7</v>
      </c>
      <c r="C34" s="2" t="s">
        <v>14</v>
      </c>
      <c r="D34" s="2" t="s">
        <v>9</v>
      </c>
      <c r="E34" s="2">
        <v>91</v>
      </c>
      <c r="F34" s="4">
        <v>1.6090909090909089</v>
      </c>
      <c r="G34" s="4">
        <v>1.77</v>
      </c>
      <c r="H34" s="4">
        <v>161.07</v>
      </c>
      <c r="I34" s="5">
        <f t="shared" si="0"/>
        <v>0.10000000000000014</v>
      </c>
    </row>
    <row r="35" spans="1:9" x14ac:dyDescent="0.3">
      <c r="A35" s="3">
        <v>43931</v>
      </c>
      <c r="B35" s="2" t="s">
        <v>7</v>
      </c>
      <c r="C35" s="2" t="s">
        <v>14</v>
      </c>
      <c r="D35" s="2" t="s">
        <v>10</v>
      </c>
      <c r="E35" s="2">
        <v>23</v>
      </c>
      <c r="F35" s="4">
        <v>3.2924528301886791</v>
      </c>
      <c r="G35" s="4">
        <v>3.4899999999999998</v>
      </c>
      <c r="H35" s="4">
        <v>80.27</v>
      </c>
      <c r="I35" s="5">
        <f t="shared" si="0"/>
        <v>5.9999999999999984E-2</v>
      </c>
    </row>
    <row r="36" spans="1:9" x14ac:dyDescent="0.3">
      <c r="A36" s="3">
        <v>43934</v>
      </c>
      <c r="B36" s="2" t="s">
        <v>11</v>
      </c>
      <c r="C36" s="2" t="s">
        <v>16</v>
      </c>
      <c r="D36" s="2" t="s">
        <v>15</v>
      </c>
      <c r="E36" s="2">
        <v>28</v>
      </c>
      <c r="F36" s="4">
        <v>1.5135135135135134</v>
      </c>
      <c r="G36" s="4">
        <v>1.68</v>
      </c>
      <c r="H36" s="4">
        <v>47.04</v>
      </c>
      <c r="I36" s="5">
        <f t="shared" si="0"/>
        <v>0.11000000000000006</v>
      </c>
    </row>
    <row r="37" spans="1:9" x14ac:dyDescent="0.3">
      <c r="A37" s="3">
        <v>43937</v>
      </c>
      <c r="B37" s="2" t="s">
        <v>7</v>
      </c>
      <c r="C37" s="2" t="s">
        <v>8</v>
      </c>
      <c r="D37" s="2" t="s">
        <v>9</v>
      </c>
      <c r="E37" s="2">
        <v>48</v>
      </c>
      <c r="F37" s="4">
        <v>1.7019230769230766</v>
      </c>
      <c r="G37" s="4">
        <v>1.7699999999999998</v>
      </c>
      <c r="H37" s="4">
        <v>84.96</v>
      </c>
      <c r="I37" s="5">
        <f t="shared" si="0"/>
        <v>4.0000000000000049E-2</v>
      </c>
    </row>
    <row r="38" spans="1:9" x14ac:dyDescent="0.3">
      <c r="A38" s="3">
        <v>43940</v>
      </c>
      <c r="B38" s="2" t="s">
        <v>7</v>
      </c>
      <c r="C38" s="2" t="s">
        <v>8</v>
      </c>
      <c r="D38" s="2" t="s">
        <v>15</v>
      </c>
      <c r="E38" s="2">
        <v>134</v>
      </c>
      <c r="F38" s="4">
        <v>1.4736842105263155</v>
      </c>
      <c r="G38" s="4">
        <v>1.68</v>
      </c>
      <c r="H38" s="4">
        <v>225.12</v>
      </c>
      <c r="I38" s="5">
        <f t="shared" si="0"/>
        <v>0.14000000000000018</v>
      </c>
    </row>
    <row r="39" spans="1:9" x14ac:dyDescent="0.3">
      <c r="A39" s="3">
        <v>43943</v>
      </c>
      <c r="B39" s="2" t="s">
        <v>11</v>
      </c>
      <c r="C39" s="2" t="s">
        <v>12</v>
      </c>
      <c r="D39" s="2" t="s">
        <v>9</v>
      </c>
      <c r="E39" s="2">
        <v>20</v>
      </c>
      <c r="F39" s="4">
        <v>1.4508196721311475</v>
      </c>
      <c r="G39" s="4">
        <v>1.77</v>
      </c>
      <c r="H39" s="4">
        <v>35.4</v>
      </c>
      <c r="I39" s="5">
        <f t="shared" si="0"/>
        <v>0.22000000000000006</v>
      </c>
    </row>
    <row r="40" spans="1:9" x14ac:dyDescent="0.3">
      <c r="A40" s="3">
        <v>43946</v>
      </c>
      <c r="B40" s="2" t="s">
        <v>7</v>
      </c>
      <c r="C40" s="2" t="s">
        <v>14</v>
      </c>
      <c r="D40" s="2" t="s">
        <v>9</v>
      </c>
      <c r="E40" s="2">
        <v>53</v>
      </c>
      <c r="F40" s="4">
        <v>1.6698113207547169</v>
      </c>
      <c r="G40" s="4">
        <v>1.77</v>
      </c>
      <c r="H40" s="4">
        <v>93.81</v>
      </c>
      <c r="I40" s="5">
        <f t="shared" si="0"/>
        <v>6.0000000000000032E-2</v>
      </c>
    </row>
    <row r="41" spans="1:9" x14ac:dyDescent="0.3">
      <c r="A41" s="3">
        <v>43949</v>
      </c>
      <c r="B41" s="2" t="s">
        <v>7</v>
      </c>
      <c r="C41" s="2" t="s">
        <v>14</v>
      </c>
      <c r="D41" s="2" t="s">
        <v>15</v>
      </c>
      <c r="E41" s="2">
        <v>64</v>
      </c>
      <c r="F41" s="4">
        <v>1.5999999999999999</v>
      </c>
      <c r="G41" s="4">
        <v>1.68</v>
      </c>
      <c r="H41" s="4">
        <v>107.52</v>
      </c>
      <c r="I41" s="5">
        <f t="shared" si="0"/>
        <v>5.0000000000000051E-2</v>
      </c>
    </row>
    <row r="42" spans="1:9" x14ac:dyDescent="0.3">
      <c r="A42" s="3">
        <v>43952</v>
      </c>
      <c r="B42" s="2" t="s">
        <v>11</v>
      </c>
      <c r="C42" s="2" t="s">
        <v>16</v>
      </c>
      <c r="D42" s="2" t="s">
        <v>13</v>
      </c>
      <c r="E42" s="2">
        <v>63</v>
      </c>
      <c r="F42" s="4">
        <v>1.7155963302752293</v>
      </c>
      <c r="G42" s="4">
        <v>1.87</v>
      </c>
      <c r="H42" s="4">
        <v>117.81</v>
      </c>
      <c r="I42" s="5">
        <f t="shared" si="0"/>
        <v>9.0000000000000108E-2</v>
      </c>
    </row>
    <row r="43" spans="1:9" x14ac:dyDescent="0.3">
      <c r="A43" s="3">
        <v>43955</v>
      </c>
      <c r="B43" s="2" t="s">
        <v>7</v>
      </c>
      <c r="C43" s="2" t="s">
        <v>8</v>
      </c>
      <c r="D43" s="2" t="s">
        <v>9</v>
      </c>
      <c r="E43" s="2">
        <v>105</v>
      </c>
      <c r="F43" s="4">
        <v>1.5454545454545454</v>
      </c>
      <c r="G43" s="4">
        <v>1.8699999999999999</v>
      </c>
      <c r="H43" s="4">
        <v>196.35</v>
      </c>
      <c r="I43" s="5">
        <f t="shared" si="0"/>
        <v>0.20999999999999996</v>
      </c>
    </row>
    <row r="44" spans="1:9" x14ac:dyDescent="0.3">
      <c r="A44" s="3">
        <v>43958</v>
      </c>
      <c r="B44" s="2" t="s">
        <v>7</v>
      </c>
      <c r="C44" s="2" t="s">
        <v>8</v>
      </c>
      <c r="D44" s="2" t="s">
        <v>13</v>
      </c>
      <c r="E44" s="2">
        <v>138</v>
      </c>
      <c r="F44" s="4">
        <v>2.7572815533980584</v>
      </c>
      <c r="G44" s="4">
        <v>2.8400000000000003</v>
      </c>
      <c r="H44" s="4">
        <v>391.92</v>
      </c>
      <c r="I44" s="5">
        <f t="shared" si="0"/>
        <v>3.0000000000000068E-2</v>
      </c>
    </row>
    <row r="45" spans="1:9" x14ac:dyDescent="0.3">
      <c r="A45" s="3">
        <v>43961</v>
      </c>
      <c r="B45" s="2" t="s">
        <v>11</v>
      </c>
      <c r="C45" s="2" t="s">
        <v>12</v>
      </c>
      <c r="D45" s="2" t="s">
        <v>9</v>
      </c>
      <c r="E45" s="2">
        <v>25</v>
      </c>
      <c r="F45" s="4">
        <v>1.5258620689655173</v>
      </c>
      <c r="G45" s="4">
        <v>1.77</v>
      </c>
      <c r="H45" s="4">
        <v>44.25</v>
      </c>
      <c r="I45" s="5">
        <f t="shared" si="0"/>
        <v>0.15999999999999992</v>
      </c>
    </row>
    <row r="46" spans="1:9" x14ac:dyDescent="0.3">
      <c r="A46" s="3">
        <v>43964</v>
      </c>
      <c r="B46" s="2" t="s">
        <v>11</v>
      </c>
      <c r="C46" s="2" t="s">
        <v>12</v>
      </c>
      <c r="D46" s="2" t="s">
        <v>10</v>
      </c>
      <c r="E46" s="2">
        <v>21</v>
      </c>
      <c r="F46" s="4">
        <v>3.3557692307692308</v>
      </c>
      <c r="G46" s="4">
        <v>3.49</v>
      </c>
      <c r="H46" s="4">
        <v>73.290000000000006</v>
      </c>
      <c r="I46" s="5">
        <f t="shared" si="0"/>
        <v>4.0000000000000042E-2</v>
      </c>
    </row>
    <row r="47" spans="1:9" x14ac:dyDescent="0.3">
      <c r="A47" s="3">
        <v>43967</v>
      </c>
      <c r="B47" s="2" t="s">
        <v>7</v>
      </c>
      <c r="C47" s="2" t="s">
        <v>14</v>
      </c>
      <c r="D47" s="2" t="s">
        <v>9</v>
      </c>
      <c r="E47" s="2">
        <v>61</v>
      </c>
      <c r="F47" s="4">
        <v>1.512820512820513</v>
      </c>
      <c r="G47" s="4">
        <v>1.77</v>
      </c>
      <c r="H47" s="4">
        <v>107.97</v>
      </c>
      <c r="I47" s="5">
        <f t="shared" si="0"/>
        <v>0.16999999999999987</v>
      </c>
    </row>
    <row r="48" spans="1:9" x14ac:dyDescent="0.3">
      <c r="A48" s="3">
        <v>43970</v>
      </c>
      <c r="B48" s="2" t="s">
        <v>7</v>
      </c>
      <c r="C48" s="2" t="s">
        <v>14</v>
      </c>
      <c r="D48" s="2" t="s">
        <v>15</v>
      </c>
      <c r="E48" s="2">
        <v>49</v>
      </c>
      <c r="F48" s="4">
        <v>1.423728813559322</v>
      </c>
      <c r="G48" s="4">
        <v>1.68</v>
      </c>
      <c r="H48" s="4">
        <v>82.32</v>
      </c>
      <c r="I48" s="5">
        <f t="shared" si="0"/>
        <v>0.17999999999999997</v>
      </c>
    </row>
    <row r="49" spans="1:9" x14ac:dyDescent="0.3">
      <c r="A49" s="3">
        <v>43973</v>
      </c>
      <c r="B49" s="2" t="s">
        <v>11</v>
      </c>
      <c r="C49" s="2" t="s">
        <v>16</v>
      </c>
      <c r="D49" s="2" t="s">
        <v>13</v>
      </c>
      <c r="E49" s="2">
        <v>55</v>
      </c>
      <c r="F49" s="4">
        <v>1.7809523809523808</v>
      </c>
      <c r="G49" s="4">
        <v>1.8699999999999999</v>
      </c>
      <c r="H49" s="4">
        <v>102.85</v>
      </c>
      <c r="I49" s="5">
        <f t="shared" si="0"/>
        <v>0.05</v>
      </c>
    </row>
    <row r="50" spans="1:9" x14ac:dyDescent="0.3">
      <c r="A50" s="3">
        <v>43976</v>
      </c>
      <c r="B50" s="2" t="s">
        <v>7</v>
      </c>
      <c r="C50" s="2" t="s">
        <v>8</v>
      </c>
      <c r="D50" s="2" t="s">
        <v>13</v>
      </c>
      <c r="E50" s="2">
        <v>27</v>
      </c>
      <c r="F50" s="4">
        <v>2.1372549019607843</v>
      </c>
      <c r="G50" s="4">
        <v>2.1800000000000002</v>
      </c>
      <c r="H50" s="4">
        <v>58.860000000000007</v>
      </c>
      <c r="I50" s="5">
        <f t="shared" si="0"/>
        <v>2.0000000000000094E-2</v>
      </c>
    </row>
    <row r="51" spans="1:9" x14ac:dyDescent="0.3">
      <c r="A51" s="3">
        <v>43979</v>
      </c>
      <c r="B51" s="2" t="s">
        <v>7</v>
      </c>
      <c r="C51" s="2" t="s">
        <v>8</v>
      </c>
      <c r="D51" s="2" t="s">
        <v>9</v>
      </c>
      <c r="E51" s="2">
        <v>58</v>
      </c>
      <c r="F51" s="4">
        <v>1.5391304347826089</v>
      </c>
      <c r="G51" s="4">
        <v>1.77</v>
      </c>
      <c r="H51" s="4">
        <v>102.66</v>
      </c>
      <c r="I51" s="5">
        <f t="shared" si="0"/>
        <v>0.14999999999999986</v>
      </c>
    </row>
    <row r="52" spans="1:9" x14ac:dyDescent="0.3">
      <c r="A52" s="3">
        <v>43982</v>
      </c>
      <c r="B52" s="2" t="s">
        <v>7</v>
      </c>
      <c r="C52" s="2" t="s">
        <v>8</v>
      </c>
      <c r="D52" s="2" t="s">
        <v>10</v>
      </c>
      <c r="E52" s="2">
        <v>33</v>
      </c>
      <c r="F52" s="4">
        <v>3.1727272727272728</v>
      </c>
      <c r="G52" s="4">
        <v>3.49</v>
      </c>
      <c r="H52" s="4">
        <v>115.17</v>
      </c>
      <c r="I52" s="5">
        <f t="shared" si="0"/>
        <v>0.10000000000000003</v>
      </c>
    </row>
    <row r="53" spans="1:9" x14ac:dyDescent="0.3">
      <c r="A53" s="3">
        <v>43985</v>
      </c>
      <c r="B53" s="2" t="s">
        <v>11</v>
      </c>
      <c r="C53" s="2" t="s">
        <v>12</v>
      </c>
      <c r="D53" s="2" t="s">
        <v>13</v>
      </c>
      <c r="E53" s="2">
        <v>288</v>
      </c>
      <c r="F53" s="4">
        <v>2.5585585585585582</v>
      </c>
      <c r="G53" s="4">
        <v>2.84</v>
      </c>
      <c r="H53" s="4">
        <v>817.92</v>
      </c>
      <c r="I53" s="5">
        <f t="shared" si="0"/>
        <v>0.11000000000000011</v>
      </c>
    </row>
    <row r="54" spans="1:9" x14ac:dyDescent="0.3">
      <c r="A54" s="3">
        <v>43988</v>
      </c>
      <c r="B54" s="2" t="s">
        <v>7</v>
      </c>
      <c r="C54" s="2" t="s">
        <v>14</v>
      </c>
      <c r="D54" s="2" t="s">
        <v>13</v>
      </c>
      <c r="E54" s="2">
        <v>76</v>
      </c>
      <c r="F54" s="4">
        <v>1.7980769230769231</v>
      </c>
      <c r="G54" s="4">
        <v>1.87</v>
      </c>
      <c r="H54" s="4">
        <v>142.12</v>
      </c>
      <c r="I54" s="5">
        <f t="shared" si="0"/>
        <v>4.0000000000000029E-2</v>
      </c>
    </row>
    <row r="55" spans="1:9" x14ac:dyDescent="0.3">
      <c r="A55" s="3">
        <v>43991</v>
      </c>
      <c r="B55" s="2" t="s">
        <v>11</v>
      </c>
      <c r="C55" s="2" t="s">
        <v>16</v>
      </c>
      <c r="D55" s="2" t="s">
        <v>9</v>
      </c>
      <c r="E55" s="2">
        <v>42</v>
      </c>
      <c r="F55" s="4">
        <v>1.6698113207547169</v>
      </c>
      <c r="G55" s="4">
        <v>1.77</v>
      </c>
      <c r="H55" s="4">
        <v>74.34</v>
      </c>
      <c r="I55" s="5">
        <f t="shared" si="0"/>
        <v>6.0000000000000032E-2</v>
      </c>
    </row>
    <row r="56" spans="1:9" x14ac:dyDescent="0.3">
      <c r="A56" s="3">
        <v>43994</v>
      </c>
      <c r="B56" s="2" t="s">
        <v>11</v>
      </c>
      <c r="C56" s="2" t="s">
        <v>16</v>
      </c>
      <c r="D56" s="2" t="s">
        <v>10</v>
      </c>
      <c r="E56" s="2">
        <v>20</v>
      </c>
      <c r="F56" s="4">
        <v>3.1160714285714279</v>
      </c>
      <c r="G56" s="4">
        <v>3.4899999999999998</v>
      </c>
      <c r="H56" s="4">
        <v>69.8</v>
      </c>
      <c r="I56" s="5">
        <f t="shared" si="0"/>
        <v>0.12000000000000015</v>
      </c>
    </row>
    <row r="57" spans="1:9" x14ac:dyDescent="0.3">
      <c r="A57" s="3">
        <v>43997</v>
      </c>
      <c r="B57" s="2" t="s">
        <v>7</v>
      </c>
      <c r="C57" s="2" t="s">
        <v>8</v>
      </c>
      <c r="D57" s="2" t="s">
        <v>9</v>
      </c>
      <c r="E57" s="2">
        <v>75</v>
      </c>
      <c r="F57" s="4">
        <v>1.512820512820513</v>
      </c>
      <c r="G57" s="4">
        <v>1.77</v>
      </c>
      <c r="H57" s="4">
        <v>132.75</v>
      </c>
      <c r="I57" s="5">
        <f t="shared" si="0"/>
        <v>0.16999999999999987</v>
      </c>
    </row>
    <row r="58" spans="1:9" x14ac:dyDescent="0.3">
      <c r="A58" s="3">
        <v>44000</v>
      </c>
      <c r="B58" s="2" t="s">
        <v>7</v>
      </c>
      <c r="C58" s="2" t="s">
        <v>8</v>
      </c>
      <c r="D58" s="2" t="s">
        <v>10</v>
      </c>
      <c r="E58" s="2">
        <v>38</v>
      </c>
      <c r="F58" s="4">
        <v>3.0086206896551726</v>
      </c>
      <c r="G58" s="4">
        <v>3.49</v>
      </c>
      <c r="H58" s="4">
        <v>132.62</v>
      </c>
      <c r="I58" s="5">
        <f t="shared" si="0"/>
        <v>0.16</v>
      </c>
    </row>
    <row r="59" spans="1:9" x14ac:dyDescent="0.3">
      <c r="A59" s="3">
        <v>44003</v>
      </c>
      <c r="B59" s="2" t="s">
        <v>11</v>
      </c>
      <c r="C59" s="2" t="s">
        <v>12</v>
      </c>
      <c r="D59" s="2" t="s">
        <v>9</v>
      </c>
      <c r="E59" s="2">
        <v>306</v>
      </c>
      <c r="F59" s="4">
        <v>1.7184466019417475</v>
      </c>
      <c r="G59" s="4">
        <v>1.77</v>
      </c>
      <c r="H59" s="4">
        <v>541.62</v>
      </c>
      <c r="I59" s="5">
        <f t="shared" si="0"/>
        <v>3.0000000000000068E-2</v>
      </c>
    </row>
    <row r="60" spans="1:9" x14ac:dyDescent="0.3">
      <c r="A60" s="3">
        <v>44006</v>
      </c>
      <c r="B60" s="2" t="s">
        <v>11</v>
      </c>
      <c r="C60" s="2" t="s">
        <v>12</v>
      </c>
      <c r="D60" s="2" t="s">
        <v>15</v>
      </c>
      <c r="E60" s="2">
        <v>28</v>
      </c>
      <c r="F60" s="4">
        <v>1.5272727272727271</v>
      </c>
      <c r="G60" s="4">
        <v>1.68</v>
      </c>
      <c r="H60" s="4">
        <v>47.04</v>
      </c>
      <c r="I60" s="5">
        <f t="shared" si="0"/>
        <v>0.10000000000000007</v>
      </c>
    </row>
    <row r="61" spans="1:9" x14ac:dyDescent="0.3">
      <c r="A61" s="3">
        <v>44009</v>
      </c>
      <c r="B61" s="2" t="s">
        <v>7</v>
      </c>
      <c r="C61" s="2" t="s">
        <v>14</v>
      </c>
      <c r="D61" s="2" t="s">
        <v>9</v>
      </c>
      <c r="E61" s="2">
        <v>110</v>
      </c>
      <c r="F61" s="4">
        <v>1.6999999999999997</v>
      </c>
      <c r="G61" s="4">
        <v>1.8699999999999999</v>
      </c>
      <c r="H61" s="4">
        <v>205.7</v>
      </c>
      <c r="I61" s="5">
        <f t="shared" si="0"/>
        <v>0.1000000000000001</v>
      </c>
    </row>
    <row r="62" spans="1:9" x14ac:dyDescent="0.3">
      <c r="A62" s="3">
        <v>44012</v>
      </c>
      <c r="B62" s="2" t="s">
        <v>7</v>
      </c>
      <c r="C62" s="2" t="s">
        <v>14</v>
      </c>
      <c r="D62" s="2" t="s">
        <v>13</v>
      </c>
      <c r="E62" s="2">
        <v>51</v>
      </c>
      <c r="F62" s="4">
        <v>2.7307692307692304</v>
      </c>
      <c r="G62" s="4">
        <v>2.84</v>
      </c>
      <c r="H62" s="4">
        <v>144.84</v>
      </c>
      <c r="I62" s="5">
        <f t="shared" si="0"/>
        <v>4.0000000000000091E-2</v>
      </c>
    </row>
    <row r="63" spans="1:9" x14ac:dyDescent="0.3">
      <c r="A63" s="3">
        <v>44015</v>
      </c>
      <c r="B63" s="2" t="s">
        <v>11</v>
      </c>
      <c r="C63" s="2" t="s">
        <v>16</v>
      </c>
      <c r="D63" s="2" t="s">
        <v>9</v>
      </c>
      <c r="E63" s="2">
        <v>52</v>
      </c>
      <c r="F63" s="4">
        <v>1.6857142857142857</v>
      </c>
      <c r="G63" s="4">
        <v>1.77</v>
      </c>
      <c r="H63" s="4">
        <v>92.04</v>
      </c>
      <c r="I63" s="5">
        <f t="shared" si="0"/>
        <v>5.000000000000001E-2</v>
      </c>
    </row>
    <row r="64" spans="1:9" x14ac:dyDescent="0.3">
      <c r="A64" s="3">
        <v>44018</v>
      </c>
      <c r="B64" s="2" t="s">
        <v>11</v>
      </c>
      <c r="C64" s="2" t="s">
        <v>16</v>
      </c>
      <c r="D64" s="2" t="s">
        <v>10</v>
      </c>
      <c r="E64" s="2">
        <v>28</v>
      </c>
      <c r="F64" s="4">
        <v>3.1441441441441436</v>
      </c>
      <c r="G64" s="4">
        <v>3.4899999999999998</v>
      </c>
      <c r="H64" s="4">
        <v>97.72</v>
      </c>
      <c r="I64" s="5">
        <f t="shared" si="0"/>
        <v>0.11000000000000014</v>
      </c>
    </row>
    <row r="65" spans="1:9" x14ac:dyDescent="0.3">
      <c r="A65" s="3">
        <v>44021</v>
      </c>
      <c r="B65" s="2" t="s">
        <v>7</v>
      </c>
      <c r="C65" s="2" t="s">
        <v>8</v>
      </c>
      <c r="D65" s="2" t="s">
        <v>9</v>
      </c>
      <c r="E65" s="2">
        <v>136</v>
      </c>
      <c r="F65" s="4">
        <v>1.6698113207547169</v>
      </c>
      <c r="G65" s="4">
        <v>1.77</v>
      </c>
      <c r="H65" s="4">
        <v>240.72</v>
      </c>
      <c r="I65" s="5">
        <f t="shared" si="0"/>
        <v>6.0000000000000032E-2</v>
      </c>
    </row>
    <row r="66" spans="1:9" x14ac:dyDescent="0.3">
      <c r="A66" s="3">
        <v>44024</v>
      </c>
      <c r="B66" s="2" t="s">
        <v>7</v>
      </c>
      <c r="C66" s="2" t="s">
        <v>8</v>
      </c>
      <c r="D66" s="2" t="s">
        <v>10</v>
      </c>
      <c r="E66" s="2">
        <v>42</v>
      </c>
      <c r="F66" s="4">
        <v>2.8606557377049184</v>
      </c>
      <c r="G66" s="4">
        <v>3.49</v>
      </c>
      <c r="H66" s="4">
        <v>146.58000000000001</v>
      </c>
      <c r="I66" s="5">
        <f t="shared" si="0"/>
        <v>0.21999999999999989</v>
      </c>
    </row>
    <row r="67" spans="1:9" x14ac:dyDescent="0.3">
      <c r="A67" s="3">
        <v>44027</v>
      </c>
      <c r="B67" s="2" t="s">
        <v>11</v>
      </c>
      <c r="C67" s="2" t="s">
        <v>12</v>
      </c>
      <c r="D67" s="2" t="s">
        <v>13</v>
      </c>
      <c r="E67" s="2">
        <v>75</v>
      </c>
      <c r="F67" s="4">
        <v>1.6846846846846846</v>
      </c>
      <c r="G67" s="4">
        <v>1.87</v>
      </c>
      <c r="H67" s="4">
        <v>140.25</v>
      </c>
      <c r="I67" s="5">
        <f t="shared" ref="I67:I130" si="1">(G67-F67)/F67</f>
        <v>0.11000000000000014</v>
      </c>
    </row>
    <row r="68" spans="1:9" x14ac:dyDescent="0.3">
      <c r="A68" s="3">
        <v>44030</v>
      </c>
      <c r="B68" s="2" t="s">
        <v>7</v>
      </c>
      <c r="C68" s="2" t="s">
        <v>14</v>
      </c>
      <c r="D68" s="2" t="s">
        <v>9</v>
      </c>
      <c r="E68" s="2">
        <v>72</v>
      </c>
      <c r="F68" s="4">
        <v>1.5847457627118644</v>
      </c>
      <c r="G68" s="4">
        <v>1.8699999999999999</v>
      </c>
      <c r="H68" s="4">
        <v>134.63999999999999</v>
      </c>
      <c r="I68" s="5">
        <f t="shared" si="1"/>
        <v>0.17999999999999994</v>
      </c>
    </row>
    <row r="69" spans="1:9" x14ac:dyDescent="0.3">
      <c r="A69" s="3">
        <v>44033</v>
      </c>
      <c r="B69" s="2" t="s">
        <v>7</v>
      </c>
      <c r="C69" s="2" t="s">
        <v>14</v>
      </c>
      <c r="D69" s="2" t="s">
        <v>13</v>
      </c>
      <c r="E69" s="2">
        <v>56</v>
      </c>
      <c r="F69" s="4">
        <v>2.406779661016949</v>
      </c>
      <c r="G69" s="4">
        <v>2.84</v>
      </c>
      <c r="H69" s="4">
        <v>159.04</v>
      </c>
      <c r="I69" s="5">
        <f t="shared" si="1"/>
        <v>0.18000000000000005</v>
      </c>
    </row>
    <row r="70" spans="1:9" x14ac:dyDescent="0.3">
      <c r="A70" s="3">
        <v>44036</v>
      </c>
      <c r="B70" s="2" t="s">
        <v>11</v>
      </c>
      <c r="C70" s="2" t="s">
        <v>16</v>
      </c>
      <c r="D70" s="2" t="s">
        <v>9</v>
      </c>
      <c r="E70" s="2">
        <v>51</v>
      </c>
      <c r="F70" s="4">
        <v>1.5982905982905984</v>
      </c>
      <c r="G70" s="4">
        <v>1.87</v>
      </c>
      <c r="H70" s="4">
        <v>95.37</v>
      </c>
      <c r="I70" s="5">
        <f t="shared" si="1"/>
        <v>0.16999999999999998</v>
      </c>
    </row>
    <row r="71" spans="1:9" x14ac:dyDescent="0.3">
      <c r="A71" s="3">
        <v>44039</v>
      </c>
      <c r="B71" s="2" t="s">
        <v>11</v>
      </c>
      <c r="C71" s="2" t="s">
        <v>16</v>
      </c>
      <c r="D71" s="2" t="s">
        <v>15</v>
      </c>
      <c r="E71" s="2">
        <v>31</v>
      </c>
      <c r="F71" s="4">
        <v>1.3770491803278688</v>
      </c>
      <c r="G71" s="4">
        <v>1.68</v>
      </c>
      <c r="H71" s="4">
        <v>52.08</v>
      </c>
      <c r="I71" s="5">
        <f t="shared" si="1"/>
        <v>0.21999999999999997</v>
      </c>
    </row>
    <row r="72" spans="1:9" x14ac:dyDescent="0.3">
      <c r="A72" s="3">
        <v>44042</v>
      </c>
      <c r="B72" s="2" t="s">
        <v>7</v>
      </c>
      <c r="C72" s="2" t="s">
        <v>8</v>
      </c>
      <c r="D72" s="2" t="s">
        <v>9</v>
      </c>
      <c r="E72" s="2">
        <v>56</v>
      </c>
      <c r="F72" s="4">
        <v>1.747663551401869</v>
      </c>
      <c r="G72" s="4">
        <v>1.8699999999999999</v>
      </c>
      <c r="H72" s="4">
        <v>104.72</v>
      </c>
      <c r="I72" s="5">
        <f t="shared" si="1"/>
        <v>7.0000000000000021E-2</v>
      </c>
    </row>
    <row r="73" spans="1:9" x14ac:dyDescent="0.3">
      <c r="A73" s="3">
        <v>44045</v>
      </c>
      <c r="B73" s="2" t="s">
        <v>7</v>
      </c>
      <c r="C73" s="2" t="s">
        <v>8</v>
      </c>
      <c r="D73" s="2" t="s">
        <v>13</v>
      </c>
      <c r="E73" s="2">
        <v>137</v>
      </c>
      <c r="F73" s="4">
        <v>2.6055045871559628</v>
      </c>
      <c r="G73" s="4">
        <v>2.84</v>
      </c>
      <c r="H73" s="4">
        <v>389.08</v>
      </c>
      <c r="I73" s="5">
        <f t="shared" si="1"/>
        <v>9.0000000000000163E-2</v>
      </c>
    </row>
    <row r="74" spans="1:9" x14ac:dyDescent="0.3">
      <c r="A74" s="3">
        <v>44048</v>
      </c>
      <c r="B74" s="2" t="s">
        <v>11</v>
      </c>
      <c r="C74" s="2" t="s">
        <v>12</v>
      </c>
      <c r="D74" s="2" t="s">
        <v>13</v>
      </c>
      <c r="E74" s="2">
        <v>107</v>
      </c>
      <c r="F74" s="4">
        <v>1.5454545454545456</v>
      </c>
      <c r="G74" s="4">
        <v>1.87</v>
      </c>
      <c r="H74" s="4">
        <v>200.09</v>
      </c>
      <c r="I74" s="5">
        <f t="shared" si="1"/>
        <v>0.20999999999999994</v>
      </c>
    </row>
    <row r="75" spans="1:9" x14ac:dyDescent="0.3">
      <c r="A75" s="3">
        <v>44051</v>
      </c>
      <c r="B75" s="2" t="s">
        <v>7</v>
      </c>
      <c r="C75" s="2" t="s">
        <v>14</v>
      </c>
      <c r="D75" s="2" t="s">
        <v>9</v>
      </c>
      <c r="E75" s="2">
        <v>24</v>
      </c>
      <c r="F75" s="4">
        <v>1.5258620689655171</v>
      </c>
      <c r="G75" s="4">
        <v>1.7699999999999998</v>
      </c>
      <c r="H75" s="4">
        <v>42.48</v>
      </c>
      <c r="I75" s="5">
        <f t="shared" si="1"/>
        <v>0.15999999999999995</v>
      </c>
    </row>
    <row r="76" spans="1:9" x14ac:dyDescent="0.3">
      <c r="A76" s="3">
        <v>44054</v>
      </c>
      <c r="B76" s="2" t="s">
        <v>7</v>
      </c>
      <c r="C76" s="2" t="s">
        <v>14</v>
      </c>
      <c r="D76" s="2" t="s">
        <v>10</v>
      </c>
      <c r="E76" s="2">
        <v>30</v>
      </c>
      <c r="F76" s="4">
        <v>2.9327731092436977</v>
      </c>
      <c r="G76" s="4">
        <v>3.49</v>
      </c>
      <c r="H76" s="4">
        <v>104.7</v>
      </c>
      <c r="I76" s="5">
        <f t="shared" si="1"/>
        <v>0.18999999999999997</v>
      </c>
    </row>
    <row r="77" spans="1:9" x14ac:dyDescent="0.3">
      <c r="A77" s="3">
        <v>44057</v>
      </c>
      <c r="B77" s="2" t="s">
        <v>11</v>
      </c>
      <c r="C77" s="2" t="s">
        <v>16</v>
      </c>
      <c r="D77" s="2" t="s">
        <v>13</v>
      </c>
      <c r="E77" s="2">
        <v>70</v>
      </c>
      <c r="F77" s="4">
        <v>1.6548672566371685</v>
      </c>
      <c r="G77" s="4">
        <v>1.87</v>
      </c>
      <c r="H77" s="4">
        <v>130.9</v>
      </c>
      <c r="I77" s="5">
        <f t="shared" si="1"/>
        <v>0.12999999999999984</v>
      </c>
    </row>
    <row r="78" spans="1:9" x14ac:dyDescent="0.3">
      <c r="A78" s="3">
        <v>44060</v>
      </c>
      <c r="B78" s="2" t="s">
        <v>7</v>
      </c>
      <c r="C78" s="2" t="s">
        <v>8</v>
      </c>
      <c r="D78" s="2" t="s">
        <v>13</v>
      </c>
      <c r="E78" s="2">
        <v>31</v>
      </c>
      <c r="F78" s="4">
        <v>1.9292035398230092</v>
      </c>
      <c r="G78" s="4">
        <v>2.1800000000000002</v>
      </c>
      <c r="H78" s="4">
        <v>67.58</v>
      </c>
      <c r="I78" s="5">
        <f t="shared" si="1"/>
        <v>0.12999999999999989</v>
      </c>
    </row>
    <row r="79" spans="1:9" x14ac:dyDescent="0.3">
      <c r="A79" s="3">
        <v>44063</v>
      </c>
      <c r="B79" s="2" t="s">
        <v>7</v>
      </c>
      <c r="C79" s="2" t="s">
        <v>8</v>
      </c>
      <c r="D79" s="2" t="s">
        <v>9</v>
      </c>
      <c r="E79" s="2">
        <v>109</v>
      </c>
      <c r="F79" s="4">
        <v>1.4750000000000001</v>
      </c>
      <c r="G79" s="4">
        <v>1.77</v>
      </c>
      <c r="H79" s="4">
        <v>192.93</v>
      </c>
      <c r="I79" s="5">
        <f t="shared" si="1"/>
        <v>0.19999999999999993</v>
      </c>
    </row>
    <row r="80" spans="1:9" x14ac:dyDescent="0.3">
      <c r="A80" s="3">
        <v>44066</v>
      </c>
      <c r="B80" s="2" t="s">
        <v>7</v>
      </c>
      <c r="C80" s="2" t="s">
        <v>8</v>
      </c>
      <c r="D80" s="2" t="s">
        <v>10</v>
      </c>
      <c r="E80" s="2">
        <v>21</v>
      </c>
      <c r="F80" s="4">
        <v>2.9083333333333337</v>
      </c>
      <c r="G80" s="4">
        <v>3.49</v>
      </c>
      <c r="H80" s="4">
        <v>73.290000000000006</v>
      </c>
      <c r="I80" s="5">
        <f t="shared" si="1"/>
        <v>0.19999999999999993</v>
      </c>
    </row>
    <row r="81" spans="1:9" x14ac:dyDescent="0.3">
      <c r="A81" s="3">
        <v>44069</v>
      </c>
      <c r="B81" s="2" t="s">
        <v>11</v>
      </c>
      <c r="C81" s="2" t="s">
        <v>12</v>
      </c>
      <c r="D81" s="2" t="s">
        <v>13</v>
      </c>
      <c r="E81" s="2">
        <v>80</v>
      </c>
      <c r="F81" s="4">
        <v>1.6260869565217391</v>
      </c>
      <c r="G81" s="4">
        <v>1.8699999999999999</v>
      </c>
      <c r="H81" s="4">
        <v>149.6</v>
      </c>
      <c r="I81" s="5">
        <f t="shared" si="1"/>
        <v>0.14999999999999997</v>
      </c>
    </row>
    <row r="82" spans="1:9" x14ac:dyDescent="0.3">
      <c r="A82" s="3">
        <v>44072</v>
      </c>
      <c r="B82" s="2" t="s">
        <v>7</v>
      </c>
      <c r="C82" s="2" t="s">
        <v>14</v>
      </c>
      <c r="D82" s="2" t="s">
        <v>9</v>
      </c>
      <c r="E82" s="2">
        <v>75</v>
      </c>
      <c r="F82" s="4">
        <v>1.6120689655172415</v>
      </c>
      <c r="G82" s="4">
        <v>1.87</v>
      </c>
      <c r="H82" s="4">
        <v>140.25</v>
      </c>
      <c r="I82" s="5">
        <f t="shared" si="1"/>
        <v>0.15999999999999995</v>
      </c>
    </row>
    <row r="83" spans="1:9" x14ac:dyDescent="0.3">
      <c r="A83" s="3">
        <v>44075</v>
      </c>
      <c r="B83" s="2" t="s">
        <v>7</v>
      </c>
      <c r="C83" s="2" t="s">
        <v>14</v>
      </c>
      <c r="D83" s="2" t="s">
        <v>13</v>
      </c>
      <c r="E83" s="2">
        <v>74</v>
      </c>
      <c r="F83" s="4">
        <v>2.6792452830188678</v>
      </c>
      <c r="G83" s="4">
        <v>2.84</v>
      </c>
      <c r="H83" s="4">
        <v>210.16</v>
      </c>
      <c r="I83" s="5">
        <f t="shared" si="1"/>
        <v>6.0000000000000005E-2</v>
      </c>
    </row>
    <row r="84" spans="1:9" x14ac:dyDescent="0.3">
      <c r="A84" s="3">
        <v>44078</v>
      </c>
      <c r="B84" s="2" t="s">
        <v>11</v>
      </c>
      <c r="C84" s="2" t="s">
        <v>16</v>
      </c>
      <c r="D84" s="2" t="s">
        <v>9</v>
      </c>
      <c r="E84" s="2">
        <v>45</v>
      </c>
      <c r="F84" s="4">
        <v>1.4873949579831933</v>
      </c>
      <c r="G84" s="4">
        <v>1.77</v>
      </c>
      <c r="H84" s="4">
        <v>79.650000000000006</v>
      </c>
      <c r="I84" s="5">
        <f t="shared" si="1"/>
        <v>0.18999999999999997</v>
      </c>
    </row>
    <row r="85" spans="1:9" x14ac:dyDescent="0.3">
      <c r="A85" s="3">
        <v>44081</v>
      </c>
      <c r="B85" s="2" t="s">
        <v>7</v>
      </c>
      <c r="C85" s="2" t="s">
        <v>8</v>
      </c>
      <c r="D85" s="2" t="s">
        <v>13</v>
      </c>
      <c r="E85" s="2">
        <v>28</v>
      </c>
      <c r="F85" s="4">
        <v>2.0566037735849059</v>
      </c>
      <c r="G85" s="4">
        <v>2.1800000000000002</v>
      </c>
      <c r="H85" s="4">
        <v>61.040000000000006</v>
      </c>
      <c r="I85" s="5">
        <f t="shared" si="1"/>
        <v>5.999999999999997E-2</v>
      </c>
    </row>
    <row r="86" spans="1:9" x14ac:dyDescent="0.3">
      <c r="A86" s="3">
        <v>44084</v>
      </c>
      <c r="B86" s="2" t="s">
        <v>7</v>
      </c>
      <c r="C86" s="2" t="s">
        <v>8</v>
      </c>
      <c r="D86" s="2" t="s">
        <v>9</v>
      </c>
      <c r="E86" s="2">
        <v>143</v>
      </c>
      <c r="F86" s="4">
        <v>1.6388888888888888</v>
      </c>
      <c r="G86" s="4">
        <v>1.77</v>
      </c>
      <c r="H86" s="4">
        <v>253.11</v>
      </c>
      <c r="I86" s="5">
        <f t="shared" si="1"/>
        <v>8.0000000000000043E-2</v>
      </c>
    </row>
    <row r="87" spans="1:9" x14ac:dyDescent="0.3">
      <c r="A87" s="3">
        <v>44087</v>
      </c>
      <c r="B87" s="2" t="s">
        <v>7</v>
      </c>
      <c r="C87" s="2" t="s">
        <v>8</v>
      </c>
      <c r="D87" s="2" t="s">
        <v>15</v>
      </c>
      <c r="E87" s="2">
        <v>27</v>
      </c>
      <c r="F87" s="4">
        <v>2.6923076923076925</v>
      </c>
      <c r="G87" s="4">
        <v>3.15</v>
      </c>
      <c r="H87" s="4">
        <v>85.05</v>
      </c>
      <c r="I87" s="5">
        <f t="shared" si="1"/>
        <v>0.16999999999999987</v>
      </c>
    </row>
    <row r="88" spans="1:9" x14ac:dyDescent="0.3">
      <c r="A88" s="3">
        <v>44090</v>
      </c>
      <c r="B88" s="2" t="s">
        <v>11</v>
      </c>
      <c r="C88" s="2" t="s">
        <v>12</v>
      </c>
      <c r="D88" s="2" t="s">
        <v>9</v>
      </c>
      <c r="E88" s="2">
        <v>133</v>
      </c>
      <c r="F88" s="4">
        <v>1.6542056074766354</v>
      </c>
      <c r="G88" s="4">
        <v>1.77</v>
      </c>
      <c r="H88" s="4">
        <v>235.41</v>
      </c>
      <c r="I88" s="5">
        <f t="shared" si="1"/>
        <v>7.0000000000000104E-2</v>
      </c>
    </row>
    <row r="89" spans="1:9" x14ac:dyDescent="0.3">
      <c r="A89" s="3">
        <v>44093</v>
      </c>
      <c r="B89" s="2" t="s">
        <v>7</v>
      </c>
      <c r="C89" s="2" t="s">
        <v>14</v>
      </c>
      <c r="D89" s="2" t="s">
        <v>13</v>
      </c>
      <c r="E89" s="2">
        <v>110</v>
      </c>
      <c r="F89" s="4">
        <v>1.9464285714285714</v>
      </c>
      <c r="G89" s="4">
        <v>2.1800000000000002</v>
      </c>
      <c r="H89" s="4">
        <v>239.8</v>
      </c>
      <c r="I89" s="5">
        <f t="shared" si="1"/>
        <v>0.12000000000000011</v>
      </c>
    </row>
    <row r="90" spans="1:9" x14ac:dyDescent="0.3">
      <c r="A90" s="3">
        <v>44096</v>
      </c>
      <c r="B90" s="2" t="s">
        <v>7</v>
      </c>
      <c r="C90" s="2" t="s">
        <v>14</v>
      </c>
      <c r="D90" s="2" t="s">
        <v>13</v>
      </c>
      <c r="E90" s="2">
        <v>65</v>
      </c>
      <c r="F90" s="4">
        <v>1.5327868852459017</v>
      </c>
      <c r="G90" s="4">
        <v>1.8699999999999999</v>
      </c>
      <c r="H90" s="4">
        <v>121.55</v>
      </c>
      <c r="I90" s="5">
        <f t="shared" si="1"/>
        <v>0.21999999999999989</v>
      </c>
    </row>
    <row r="91" spans="1:9" x14ac:dyDescent="0.3">
      <c r="A91" s="3">
        <v>44099</v>
      </c>
      <c r="B91" s="2" t="s">
        <v>11</v>
      </c>
      <c r="C91" s="2" t="s">
        <v>16</v>
      </c>
      <c r="D91" s="2" t="s">
        <v>9</v>
      </c>
      <c r="E91" s="2">
        <v>33</v>
      </c>
      <c r="F91" s="4">
        <v>1.5714285714285716</v>
      </c>
      <c r="G91" s="4">
        <v>1.87</v>
      </c>
      <c r="H91" s="4">
        <v>61.71</v>
      </c>
      <c r="I91" s="5">
        <f t="shared" si="1"/>
        <v>0.18999999999999992</v>
      </c>
    </row>
    <row r="92" spans="1:9" x14ac:dyDescent="0.3">
      <c r="A92" s="3">
        <v>44102</v>
      </c>
      <c r="B92" s="2" t="s">
        <v>7</v>
      </c>
      <c r="C92" s="2" t="s">
        <v>8</v>
      </c>
      <c r="D92" s="2" t="s">
        <v>13</v>
      </c>
      <c r="E92" s="2">
        <v>81</v>
      </c>
      <c r="F92" s="4">
        <v>1.9639639639639639</v>
      </c>
      <c r="G92" s="4">
        <v>2.1800000000000002</v>
      </c>
      <c r="H92" s="4">
        <v>176.58</v>
      </c>
      <c r="I92" s="5">
        <f t="shared" si="1"/>
        <v>0.11000000000000013</v>
      </c>
    </row>
    <row r="93" spans="1:9" x14ac:dyDescent="0.3">
      <c r="A93" s="3">
        <v>44105</v>
      </c>
      <c r="B93" s="2" t="s">
        <v>7</v>
      </c>
      <c r="C93" s="2" t="s">
        <v>8</v>
      </c>
      <c r="D93" s="2" t="s">
        <v>9</v>
      </c>
      <c r="E93" s="2">
        <v>77</v>
      </c>
      <c r="F93" s="4">
        <v>1.5526315789473681</v>
      </c>
      <c r="G93" s="4">
        <v>1.7699999999999998</v>
      </c>
      <c r="H93" s="4">
        <v>136.29</v>
      </c>
      <c r="I93" s="5">
        <f t="shared" si="1"/>
        <v>0.14000000000000007</v>
      </c>
    </row>
    <row r="94" spans="1:9" x14ac:dyDescent="0.3">
      <c r="A94" s="3">
        <v>44108</v>
      </c>
      <c r="B94" s="2" t="s">
        <v>7</v>
      </c>
      <c r="C94" s="2" t="s">
        <v>8</v>
      </c>
      <c r="D94" s="2" t="s">
        <v>10</v>
      </c>
      <c r="E94" s="2">
        <v>38</v>
      </c>
      <c r="F94" s="4">
        <v>2.8606557377049184</v>
      </c>
      <c r="G94" s="4">
        <v>3.49</v>
      </c>
      <c r="H94" s="4">
        <v>132.62</v>
      </c>
      <c r="I94" s="5">
        <f t="shared" si="1"/>
        <v>0.21999999999999989</v>
      </c>
    </row>
    <row r="95" spans="1:9" x14ac:dyDescent="0.3">
      <c r="A95" s="3">
        <v>44111</v>
      </c>
      <c r="B95" s="2" t="s">
        <v>11</v>
      </c>
      <c r="C95" s="2" t="s">
        <v>12</v>
      </c>
      <c r="D95" s="2" t="s">
        <v>9</v>
      </c>
      <c r="E95" s="2">
        <v>40</v>
      </c>
      <c r="F95" s="4">
        <v>1.6238532110091741</v>
      </c>
      <c r="G95" s="4">
        <v>1.77</v>
      </c>
      <c r="H95" s="4">
        <v>70.8</v>
      </c>
      <c r="I95" s="5">
        <f t="shared" si="1"/>
        <v>9.0000000000000135E-2</v>
      </c>
    </row>
    <row r="96" spans="1:9" x14ac:dyDescent="0.3">
      <c r="A96" s="3">
        <v>44114</v>
      </c>
      <c r="B96" s="2" t="s">
        <v>11</v>
      </c>
      <c r="C96" s="2" t="s">
        <v>12</v>
      </c>
      <c r="D96" s="2" t="s">
        <v>15</v>
      </c>
      <c r="E96" s="2">
        <v>114</v>
      </c>
      <c r="F96" s="4">
        <v>1.4867256637168145</v>
      </c>
      <c r="G96" s="4">
        <v>1.6800000000000002</v>
      </c>
      <c r="H96" s="4">
        <v>191.52</v>
      </c>
      <c r="I96" s="5">
        <f t="shared" si="1"/>
        <v>0.12999999999999987</v>
      </c>
    </row>
    <row r="97" spans="1:9" x14ac:dyDescent="0.3">
      <c r="A97" s="3">
        <v>44117</v>
      </c>
      <c r="B97" s="2" t="s">
        <v>7</v>
      </c>
      <c r="C97" s="2" t="s">
        <v>14</v>
      </c>
      <c r="D97" s="2" t="s">
        <v>13</v>
      </c>
      <c r="E97" s="2">
        <v>224</v>
      </c>
      <c r="F97" s="4">
        <v>1.8166666666666669</v>
      </c>
      <c r="G97" s="4">
        <v>2.1800000000000002</v>
      </c>
      <c r="H97" s="4">
        <v>488.32000000000005</v>
      </c>
      <c r="I97" s="5">
        <f t="shared" si="1"/>
        <v>0.19999999999999996</v>
      </c>
    </row>
    <row r="98" spans="1:9" x14ac:dyDescent="0.3">
      <c r="A98" s="3">
        <v>44120</v>
      </c>
      <c r="B98" s="2" t="s">
        <v>7</v>
      </c>
      <c r="C98" s="2" t="s">
        <v>14</v>
      </c>
      <c r="D98" s="2" t="s">
        <v>9</v>
      </c>
      <c r="E98" s="2">
        <v>141</v>
      </c>
      <c r="F98" s="4">
        <v>1.5526315789473684</v>
      </c>
      <c r="G98" s="4">
        <v>1.77</v>
      </c>
      <c r="H98" s="4">
        <v>249.57</v>
      </c>
      <c r="I98" s="5">
        <f t="shared" si="1"/>
        <v>0.14000000000000004</v>
      </c>
    </row>
    <row r="99" spans="1:9" x14ac:dyDescent="0.3">
      <c r="A99" s="3">
        <v>44123</v>
      </c>
      <c r="B99" s="2" t="s">
        <v>7</v>
      </c>
      <c r="C99" s="2" t="s">
        <v>14</v>
      </c>
      <c r="D99" s="2" t="s">
        <v>10</v>
      </c>
      <c r="E99" s="2">
        <v>32</v>
      </c>
      <c r="F99" s="4">
        <v>3.323809523809524</v>
      </c>
      <c r="G99" s="4">
        <v>3.49</v>
      </c>
      <c r="H99" s="4">
        <v>111.68</v>
      </c>
      <c r="I99" s="5">
        <f t="shared" si="1"/>
        <v>5.000000000000001E-2</v>
      </c>
    </row>
    <row r="100" spans="1:9" x14ac:dyDescent="0.3">
      <c r="A100" s="3">
        <v>44126</v>
      </c>
      <c r="B100" s="2" t="s">
        <v>11</v>
      </c>
      <c r="C100" s="2" t="s">
        <v>16</v>
      </c>
      <c r="D100" s="2" t="s">
        <v>9</v>
      </c>
      <c r="E100" s="2">
        <v>20</v>
      </c>
      <c r="F100" s="4">
        <v>1.5945945945945945</v>
      </c>
      <c r="G100" s="4">
        <v>1.77</v>
      </c>
      <c r="H100" s="4">
        <v>35.4</v>
      </c>
      <c r="I100" s="5">
        <f t="shared" si="1"/>
        <v>0.11000000000000007</v>
      </c>
    </row>
    <row r="101" spans="1:9" x14ac:dyDescent="0.3">
      <c r="A101" s="3">
        <v>44129</v>
      </c>
      <c r="B101" s="2" t="s">
        <v>7</v>
      </c>
      <c r="C101" s="2" t="s">
        <v>8</v>
      </c>
      <c r="D101" s="2" t="s">
        <v>13</v>
      </c>
      <c r="E101" s="2">
        <v>40</v>
      </c>
      <c r="F101" s="4">
        <v>2.0961538461538463</v>
      </c>
      <c r="G101" s="4">
        <v>2.1800000000000002</v>
      </c>
      <c r="H101" s="4">
        <v>87.2</v>
      </c>
      <c r="I101" s="5">
        <f t="shared" si="1"/>
        <v>4.0000000000000029E-2</v>
      </c>
    </row>
    <row r="102" spans="1:9" x14ac:dyDescent="0.3">
      <c r="A102" s="3">
        <v>44132</v>
      </c>
      <c r="B102" s="2" t="s">
        <v>7</v>
      </c>
      <c r="C102" s="2" t="s">
        <v>8</v>
      </c>
      <c r="D102" s="2" t="s">
        <v>13</v>
      </c>
      <c r="E102" s="2">
        <v>49</v>
      </c>
      <c r="F102" s="4">
        <v>1.5583333333333333</v>
      </c>
      <c r="G102" s="4">
        <v>1.8699999999999999</v>
      </c>
      <c r="H102" s="4">
        <v>91.63</v>
      </c>
      <c r="I102" s="5">
        <f t="shared" si="1"/>
        <v>0.19999999999999993</v>
      </c>
    </row>
    <row r="103" spans="1:9" x14ac:dyDescent="0.3">
      <c r="A103" s="3">
        <v>44135</v>
      </c>
      <c r="B103" s="2" t="s">
        <v>7</v>
      </c>
      <c r="C103" s="2" t="s">
        <v>8</v>
      </c>
      <c r="D103" s="2" t="s">
        <v>10</v>
      </c>
      <c r="E103" s="2">
        <v>46</v>
      </c>
      <c r="F103" s="4">
        <v>3.0614035087719293</v>
      </c>
      <c r="G103" s="4">
        <v>3.4899999999999998</v>
      </c>
      <c r="H103" s="4">
        <v>160.54</v>
      </c>
      <c r="I103" s="5">
        <f t="shared" si="1"/>
        <v>0.1400000000000001</v>
      </c>
    </row>
    <row r="104" spans="1:9" x14ac:dyDescent="0.3">
      <c r="A104" s="3">
        <v>44138</v>
      </c>
      <c r="B104" s="2" t="s">
        <v>11</v>
      </c>
      <c r="C104" s="2" t="s">
        <v>12</v>
      </c>
      <c r="D104" s="2" t="s">
        <v>9</v>
      </c>
      <c r="E104" s="2">
        <v>39</v>
      </c>
      <c r="F104" s="4">
        <v>1.7184466019417475</v>
      </c>
      <c r="G104" s="4">
        <v>1.77</v>
      </c>
      <c r="H104" s="4">
        <v>69.03</v>
      </c>
      <c r="I104" s="5">
        <f t="shared" si="1"/>
        <v>3.0000000000000068E-2</v>
      </c>
    </row>
    <row r="105" spans="1:9" x14ac:dyDescent="0.3">
      <c r="A105" s="3">
        <v>44141</v>
      </c>
      <c r="B105" s="2" t="s">
        <v>11</v>
      </c>
      <c r="C105" s="2" t="s">
        <v>12</v>
      </c>
      <c r="D105" s="2" t="s">
        <v>15</v>
      </c>
      <c r="E105" s="2">
        <v>62</v>
      </c>
      <c r="F105" s="4">
        <v>1.4358974358974359</v>
      </c>
      <c r="G105" s="4">
        <v>1.68</v>
      </c>
      <c r="H105" s="4">
        <v>104.16</v>
      </c>
      <c r="I105" s="5">
        <f t="shared" si="1"/>
        <v>0.16999999999999996</v>
      </c>
    </row>
    <row r="106" spans="1:9" x14ac:dyDescent="0.3">
      <c r="A106" s="3">
        <v>44144</v>
      </c>
      <c r="B106" s="2" t="s">
        <v>7</v>
      </c>
      <c r="C106" s="2" t="s">
        <v>14</v>
      </c>
      <c r="D106" s="2" t="s">
        <v>9</v>
      </c>
      <c r="E106" s="2">
        <v>90</v>
      </c>
      <c r="F106" s="4">
        <v>1.6542056074766354</v>
      </c>
      <c r="G106" s="4">
        <v>1.77</v>
      </c>
      <c r="H106" s="4">
        <v>159.30000000000001</v>
      </c>
      <c r="I106" s="5">
        <f t="shared" si="1"/>
        <v>7.0000000000000104E-2</v>
      </c>
    </row>
    <row r="107" spans="1:9" x14ac:dyDescent="0.3">
      <c r="A107" s="3">
        <v>44147</v>
      </c>
      <c r="B107" s="2" t="s">
        <v>11</v>
      </c>
      <c r="C107" s="2" t="s">
        <v>16</v>
      </c>
      <c r="D107" s="2" t="s">
        <v>13</v>
      </c>
      <c r="E107" s="2">
        <v>103</v>
      </c>
      <c r="F107" s="4">
        <v>1.8319327731092436</v>
      </c>
      <c r="G107" s="4">
        <v>2.1799999999999997</v>
      </c>
      <c r="H107" s="4">
        <v>224.53999999999996</v>
      </c>
      <c r="I107" s="5">
        <f t="shared" si="1"/>
        <v>0.18999999999999989</v>
      </c>
    </row>
    <row r="108" spans="1:9" x14ac:dyDescent="0.3">
      <c r="A108" s="3">
        <v>44150</v>
      </c>
      <c r="B108" s="2" t="s">
        <v>11</v>
      </c>
      <c r="C108" s="2" t="s">
        <v>16</v>
      </c>
      <c r="D108" s="2" t="s">
        <v>13</v>
      </c>
      <c r="E108" s="2">
        <v>32</v>
      </c>
      <c r="F108" s="4">
        <v>2.3666666666666667</v>
      </c>
      <c r="G108" s="4">
        <v>2.84</v>
      </c>
      <c r="H108" s="4">
        <v>90.88</v>
      </c>
      <c r="I108" s="5">
        <f t="shared" si="1"/>
        <v>0.19999999999999993</v>
      </c>
    </row>
    <row r="109" spans="1:9" x14ac:dyDescent="0.3">
      <c r="A109" s="3">
        <v>44153</v>
      </c>
      <c r="B109" s="2" t="s">
        <v>7</v>
      </c>
      <c r="C109" s="2" t="s">
        <v>8</v>
      </c>
      <c r="D109" s="2" t="s">
        <v>9</v>
      </c>
      <c r="E109" s="2">
        <v>66</v>
      </c>
      <c r="F109" s="4">
        <v>1.5583333333333336</v>
      </c>
      <c r="G109" s="4">
        <v>1.87</v>
      </c>
      <c r="H109" s="4">
        <v>123.42</v>
      </c>
      <c r="I109" s="5">
        <f t="shared" si="1"/>
        <v>0.19999999999999987</v>
      </c>
    </row>
    <row r="110" spans="1:9" x14ac:dyDescent="0.3">
      <c r="A110" s="3">
        <v>44156</v>
      </c>
      <c r="B110" s="2" t="s">
        <v>7</v>
      </c>
      <c r="C110" s="2" t="s">
        <v>8</v>
      </c>
      <c r="D110" s="2" t="s">
        <v>13</v>
      </c>
      <c r="E110" s="2">
        <v>97</v>
      </c>
      <c r="F110" s="4">
        <v>2.3666666666666671</v>
      </c>
      <c r="G110" s="4">
        <v>2.8400000000000003</v>
      </c>
      <c r="H110" s="4">
        <v>275.48</v>
      </c>
      <c r="I110" s="5">
        <f t="shared" si="1"/>
        <v>0.1999999999999999</v>
      </c>
    </row>
    <row r="111" spans="1:9" x14ac:dyDescent="0.3">
      <c r="A111" s="3">
        <v>44159</v>
      </c>
      <c r="B111" s="2" t="s">
        <v>11</v>
      </c>
      <c r="C111" s="2" t="s">
        <v>12</v>
      </c>
      <c r="D111" s="2" t="s">
        <v>9</v>
      </c>
      <c r="E111" s="2">
        <v>30</v>
      </c>
      <c r="F111" s="4">
        <v>1.6698113207547169</v>
      </c>
      <c r="G111" s="4">
        <v>1.77</v>
      </c>
      <c r="H111" s="4">
        <v>53.1</v>
      </c>
      <c r="I111" s="5">
        <f t="shared" si="1"/>
        <v>6.0000000000000032E-2</v>
      </c>
    </row>
    <row r="112" spans="1:9" x14ac:dyDescent="0.3">
      <c r="A112" s="3">
        <v>44162</v>
      </c>
      <c r="B112" s="2" t="s">
        <v>11</v>
      </c>
      <c r="C112" s="2" t="s">
        <v>12</v>
      </c>
      <c r="D112" s="2" t="s">
        <v>15</v>
      </c>
      <c r="E112" s="2">
        <v>29</v>
      </c>
      <c r="F112" s="4">
        <v>1.4608695652173913</v>
      </c>
      <c r="G112" s="4">
        <v>1.68</v>
      </c>
      <c r="H112" s="4">
        <v>48.72</v>
      </c>
      <c r="I112" s="5">
        <f t="shared" si="1"/>
        <v>0.14999999999999997</v>
      </c>
    </row>
    <row r="113" spans="1:9" x14ac:dyDescent="0.3">
      <c r="A113" s="3">
        <v>44165</v>
      </c>
      <c r="B113" s="2" t="s">
        <v>7</v>
      </c>
      <c r="C113" s="2" t="s">
        <v>14</v>
      </c>
      <c r="D113" s="2" t="s">
        <v>9</v>
      </c>
      <c r="E113" s="2">
        <v>92</v>
      </c>
      <c r="F113" s="4">
        <v>1.5945945945945945</v>
      </c>
      <c r="G113" s="4">
        <v>1.77</v>
      </c>
      <c r="H113" s="4">
        <v>162.84</v>
      </c>
      <c r="I113" s="5">
        <f t="shared" si="1"/>
        <v>0.11000000000000007</v>
      </c>
    </row>
    <row r="114" spans="1:9" x14ac:dyDescent="0.3">
      <c r="A114" s="3">
        <v>44168</v>
      </c>
      <c r="B114" s="2" t="s">
        <v>11</v>
      </c>
      <c r="C114" s="2" t="s">
        <v>16</v>
      </c>
      <c r="D114" s="2" t="s">
        <v>13</v>
      </c>
      <c r="E114" s="2">
        <v>139</v>
      </c>
      <c r="F114" s="4">
        <v>1.8793103448275861</v>
      </c>
      <c r="G114" s="4">
        <v>2.1799999999999997</v>
      </c>
      <c r="H114" s="4">
        <v>303.02</v>
      </c>
      <c r="I114" s="5">
        <f t="shared" si="1"/>
        <v>0.15999999999999992</v>
      </c>
    </row>
    <row r="115" spans="1:9" x14ac:dyDescent="0.3">
      <c r="A115" s="3">
        <v>44171</v>
      </c>
      <c r="B115" s="2" t="s">
        <v>11</v>
      </c>
      <c r="C115" s="2" t="s">
        <v>16</v>
      </c>
      <c r="D115" s="2" t="s">
        <v>13</v>
      </c>
      <c r="E115" s="2">
        <v>29</v>
      </c>
      <c r="F115" s="4">
        <v>2.3471074380165287</v>
      </c>
      <c r="G115" s="4">
        <v>2.84</v>
      </c>
      <c r="H115" s="4">
        <v>82.36</v>
      </c>
      <c r="I115" s="5">
        <f t="shared" si="1"/>
        <v>0.21000000000000008</v>
      </c>
    </row>
    <row r="116" spans="1:9" x14ac:dyDescent="0.3">
      <c r="A116" s="3">
        <v>44174</v>
      </c>
      <c r="B116" s="2" t="s">
        <v>7</v>
      </c>
      <c r="C116" s="2" t="s">
        <v>8</v>
      </c>
      <c r="D116" s="2" t="s">
        <v>9</v>
      </c>
      <c r="E116" s="2">
        <v>30</v>
      </c>
      <c r="F116" s="4">
        <v>2.0636363636363635</v>
      </c>
      <c r="G116" s="4">
        <v>2.27</v>
      </c>
      <c r="H116" s="4">
        <v>68.099999999999994</v>
      </c>
      <c r="I116" s="5">
        <f t="shared" si="1"/>
        <v>0.10000000000000009</v>
      </c>
    </row>
    <row r="117" spans="1:9" x14ac:dyDescent="0.3">
      <c r="A117" s="3">
        <v>44177</v>
      </c>
      <c r="B117" s="2" t="s">
        <v>7</v>
      </c>
      <c r="C117" s="2" t="s">
        <v>8</v>
      </c>
      <c r="D117" s="2" t="s">
        <v>13</v>
      </c>
      <c r="E117" s="2">
        <v>36</v>
      </c>
      <c r="F117" s="4">
        <v>1.6999999999999997</v>
      </c>
      <c r="G117" s="4">
        <v>1.8699999999999999</v>
      </c>
      <c r="H117" s="4">
        <v>67.319999999999993</v>
      </c>
      <c r="I117" s="5">
        <f t="shared" si="1"/>
        <v>0.1000000000000001</v>
      </c>
    </row>
    <row r="118" spans="1:9" x14ac:dyDescent="0.3">
      <c r="A118" s="3">
        <v>44180</v>
      </c>
      <c r="B118" s="2" t="s">
        <v>7</v>
      </c>
      <c r="C118" s="2" t="s">
        <v>8</v>
      </c>
      <c r="D118" s="2" t="s">
        <v>10</v>
      </c>
      <c r="E118" s="2">
        <v>41</v>
      </c>
      <c r="F118" s="4">
        <v>2.9083333333333337</v>
      </c>
      <c r="G118" s="4">
        <v>3.49</v>
      </c>
      <c r="H118" s="4">
        <v>143.09</v>
      </c>
      <c r="I118" s="5">
        <f t="shared" si="1"/>
        <v>0.19999999999999993</v>
      </c>
    </row>
    <row r="119" spans="1:9" x14ac:dyDescent="0.3">
      <c r="A119" s="3">
        <v>44183</v>
      </c>
      <c r="B119" s="2" t="s">
        <v>11</v>
      </c>
      <c r="C119" s="2" t="s">
        <v>12</v>
      </c>
      <c r="D119" s="2" t="s">
        <v>9</v>
      </c>
      <c r="E119" s="2">
        <v>44</v>
      </c>
      <c r="F119" s="4">
        <v>1.6090909090909087</v>
      </c>
      <c r="G119" s="4">
        <v>1.7699999999999998</v>
      </c>
      <c r="H119" s="4">
        <v>77.88</v>
      </c>
      <c r="I119" s="5">
        <f t="shared" si="1"/>
        <v>0.10000000000000016</v>
      </c>
    </row>
    <row r="120" spans="1:9" x14ac:dyDescent="0.3">
      <c r="A120" s="3">
        <v>44186</v>
      </c>
      <c r="B120" s="2" t="s">
        <v>11</v>
      </c>
      <c r="C120" s="2" t="s">
        <v>12</v>
      </c>
      <c r="D120" s="2" t="s">
        <v>15</v>
      </c>
      <c r="E120" s="2">
        <v>29</v>
      </c>
      <c r="F120" s="4">
        <v>1.6310679611650485</v>
      </c>
      <c r="G120" s="4">
        <v>1.68</v>
      </c>
      <c r="H120" s="4">
        <v>48.72</v>
      </c>
      <c r="I120" s="5">
        <f t="shared" si="1"/>
        <v>0.03</v>
      </c>
    </row>
    <row r="121" spans="1:9" x14ac:dyDescent="0.3">
      <c r="A121" s="3">
        <v>44189</v>
      </c>
      <c r="B121" s="2" t="s">
        <v>7</v>
      </c>
      <c r="C121" s="2" t="s">
        <v>14</v>
      </c>
      <c r="D121" s="2" t="s">
        <v>13</v>
      </c>
      <c r="E121" s="2">
        <v>237</v>
      </c>
      <c r="F121" s="4">
        <v>1.9122807017543855</v>
      </c>
      <c r="G121" s="4">
        <v>2.1799999999999997</v>
      </c>
      <c r="H121" s="4">
        <v>516.66</v>
      </c>
      <c r="I121" s="5">
        <f t="shared" si="1"/>
        <v>0.14000000000000015</v>
      </c>
    </row>
    <row r="122" spans="1:9" x14ac:dyDescent="0.3">
      <c r="A122" s="3">
        <v>44192</v>
      </c>
      <c r="B122" s="2" t="s">
        <v>7</v>
      </c>
      <c r="C122" s="2" t="s">
        <v>14</v>
      </c>
      <c r="D122" s="2" t="s">
        <v>13</v>
      </c>
      <c r="E122" s="2">
        <v>65</v>
      </c>
      <c r="F122" s="4">
        <v>1.7980769230769229</v>
      </c>
      <c r="G122" s="4">
        <v>1.8699999999999999</v>
      </c>
      <c r="H122" s="4">
        <v>121.55</v>
      </c>
      <c r="I122" s="5">
        <f t="shared" si="1"/>
        <v>4.0000000000000036E-2</v>
      </c>
    </row>
    <row r="123" spans="1:9" x14ac:dyDescent="0.3">
      <c r="A123" s="3">
        <v>44195</v>
      </c>
      <c r="B123" s="2" t="s">
        <v>11</v>
      </c>
      <c r="C123" s="2" t="s">
        <v>16</v>
      </c>
      <c r="D123" s="2" t="s">
        <v>13</v>
      </c>
      <c r="E123" s="2">
        <v>83</v>
      </c>
      <c r="F123" s="4">
        <v>1.8793103448275865</v>
      </c>
      <c r="G123" s="4">
        <v>2.1800000000000002</v>
      </c>
      <c r="H123" s="4">
        <v>180.94000000000003</v>
      </c>
      <c r="I123" s="5">
        <f t="shared" si="1"/>
        <v>0.15999999999999989</v>
      </c>
    </row>
    <row r="124" spans="1:9" x14ac:dyDescent="0.3">
      <c r="A124" s="3">
        <v>44198</v>
      </c>
      <c r="B124" s="2" t="s">
        <v>7</v>
      </c>
      <c r="C124" s="2" t="s">
        <v>8</v>
      </c>
      <c r="D124" s="2" t="s">
        <v>13</v>
      </c>
      <c r="E124" s="2">
        <v>32</v>
      </c>
      <c r="F124" s="4">
        <v>2.0761904761904764</v>
      </c>
      <c r="G124" s="4">
        <v>2.1800000000000002</v>
      </c>
      <c r="H124" s="4">
        <v>69.760000000000005</v>
      </c>
      <c r="I124" s="5">
        <f t="shared" si="1"/>
        <v>4.9999999999999989E-2</v>
      </c>
    </row>
    <row r="125" spans="1:9" x14ac:dyDescent="0.3">
      <c r="A125" s="3">
        <v>44201</v>
      </c>
      <c r="B125" s="2" t="s">
        <v>7</v>
      </c>
      <c r="C125" s="2" t="s">
        <v>8</v>
      </c>
      <c r="D125" s="2" t="s">
        <v>9</v>
      </c>
      <c r="E125" s="2">
        <v>63</v>
      </c>
      <c r="F125" s="4">
        <v>1.6388888888888888</v>
      </c>
      <c r="G125" s="4">
        <v>1.77</v>
      </c>
      <c r="H125" s="4">
        <v>111.51</v>
      </c>
      <c r="I125" s="5">
        <f t="shared" si="1"/>
        <v>8.0000000000000043E-2</v>
      </c>
    </row>
    <row r="126" spans="1:9" x14ac:dyDescent="0.3">
      <c r="A126" s="3">
        <v>44204</v>
      </c>
      <c r="B126" s="2" t="s">
        <v>7</v>
      </c>
      <c r="C126" s="2" t="s">
        <v>8</v>
      </c>
      <c r="D126" s="2" t="s">
        <v>15</v>
      </c>
      <c r="E126" s="2">
        <v>29</v>
      </c>
      <c r="F126" s="4">
        <v>2.9716981132075468</v>
      </c>
      <c r="G126" s="4">
        <v>3.15</v>
      </c>
      <c r="H126" s="4">
        <v>91.35</v>
      </c>
      <c r="I126" s="5">
        <f t="shared" si="1"/>
        <v>6.0000000000000088E-2</v>
      </c>
    </row>
    <row r="127" spans="1:9" x14ac:dyDescent="0.3">
      <c r="A127" s="3">
        <v>44207</v>
      </c>
      <c r="B127" s="2" t="s">
        <v>11</v>
      </c>
      <c r="C127" s="2" t="s">
        <v>12</v>
      </c>
      <c r="D127" s="2" t="s">
        <v>9</v>
      </c>
      <c r="E127" s="2">
        <v>77</v>
      </c>
      <c r="F127" s="4">
        <v>1.5454545454545456</v>
      </c>
      <c r="G127" s="4">
        <v>1.87</v>
      </c>
      <c r="H127" s="4">
        <v>143.99</v>
      </c>
      <c r="I127" s="5">
        <f t="shared" si="1"/>
        <v>0.20999999999999994</v>
      </c>
    </row>
    <row r="128" spans="1:9" x14ac:dyDescent="0.3">
      <c r="A128" s="3">
        <v>44210</v>
      </c>
      <c r="B128" s="2" t="s">
        <v>11</v>
      </c>
      <c r="C128" s="2" t="s">
        <v>12</v>
      </c>
      <c r="D128" s="2" t="s">
        <v>13</v>
      </c>
      <c r="E128" s="2">
        <v>80</v>
      </c>
      <c r="F128" s="4">
        <v>2.3865546218487395</v>
      </c>
      <c r="G128" s="4">
        <v>2.84</v>
      </c>
      <c r="H128" s="4">
        <v>227.2</v>
      </c>
      <c r="I128" s="5">
        <f t="shared" si="1"/>
        <v>0.18999999999999997</v>
      </c>
    </row>
    <row r="129" spans="1:9" x14ac:dyDescent="0.3">
      <c r="A129" s="3">
        <v>44213</v>
      </c>
      <c r="B129" s="2" t="s">
        <v>7</v>
      </c>
      <c r="C129" s="2" t="s">
        <v>14</v>
      </c>
      <c r="D129" s="2" t="s">
        <v>9</v>
      </c>
      <c r="E129" s="2">
        <v>102</v>
      </c>
      <c r="F129" s="4">
        <v>1.5526315789473684</v>
      </c>
      <c r="G129" s="4">
        <v>1.77</v>
      </c>
      <c r="H129" s="4">
        <v>180.54</v>
      </c>
      <c r="I129" s="5">
        <f t="shared" si="1"/>
        <v>0.14000000000000004</v>
      </c>
    </row>
    <row r="130" spans="1:9" x14ac:dyDescent="0.3">
      <c r="A130" s="3">
        <v>44216</v>
      </c>
      <c r="B130" s="2" t="s">
        <v>7</v>
      </c>
      <c r="C130" s="2" t="s">
        <v>14</v>
      </c>
      <c r="D130" s="2" t="s">
        <v>10</v>
      </c>
      <c r="E130" s="2">
        <v>31</v>
      </c>
      <c r="F130" s="4">
        <v>3.2018348623853208</v>
      </c>
      <c r="G130" s="4">
        <v>3.4899999999999998</v>
      </c>
      <c r="H130" s="4">
        <v>108.19</v>
      </c>
      <c r="I130" s="5">
        <f t="shared" si="1"/>
        <v>9.0000000000000038E-2</v>
      </c>
    </row>
    <row r="131" spans="1:9" x14ac:dyDescent="0.3">
      <c r="A131" s="3">
        <v>44219</v>
      </c>
      <c r="B131" s="2" t="s">
        <v>11</v>
      </c>
      <c r="C131" s="2" t="s">
        <v>16</v>
      </c>
      <c r="D131" s="2" t="s">
        <v>9</v>
      </c>
      <c r="E131" s="2">
        <v>56</v>
      </c>
      <c r="F131" s="4">
        <v>1.5803571428571428</v>
      </c>
      <c r="G131" s="4">
        <v>1.77</v>
      </c>
      <c r="H131" s="4">
        <v>99.12</v>
      </c>
      <c r="I131" s="5">
        <f t="shared" ref="I131:I194" si="2">(G131-F131)/F131</f>
        <v>0.12000000000000005</v>
      </c>
    </row>
    <row r="132" spans="1:9" x14ac:dyDescent="0.3">
      <c r="A132" s="3">
        <v>44222</v>
      </c>
      <c r="B132" s="2" t="s">
        <v>7</v>
      </c>
      <c r="C132" s="2" t="s">
        <v>8</v>
      </c>
      <c r="D132" s="2" t="s">
        <v>13</v>
      </c>
      <c r="E132" s="2">
        <v>52</v>
      </c>
      <c r="F132" s="4">
        <v>2.1372549019607843</v>
      </c>
      <c r="G132" s="4">
        <v>2.1800000000000002</v>
      </c>
      <c r="H132" s="4">
        <v>113.36000000000001</v>
      </c>
      <c r="I132" s="5">
        <f t="shared" si="2"/>
        <v>2.0000000000000094E-2</v>
      </c>
    </row>
    <row r="133" spans="1:9" x14ac:dyDescent="0.3">
      <c r="A133" s="3">
        <v>44225</v>
      </c>
      <c r="B133" s="2" t="s">
        <v>7</v>
      </c>
      <c r="C133" s="2" t="s">
        <v>8</v>
      </c>
      <c r="D133" s="2" t="s">
        <v>9</v>
      </c>
      <c r="E133" s="2">
        <v>51</v>
      </c>
      <c r="F133" s="4">
        <v>1.4750000000000001</v>
      </c>
      <c r="G133" s="4">
        <v>1.77</v>
      </c>
      <c r="H133" s="4">
        <v>90.27</v>
      </c>
      <c r="I133" s="5">
        <f t="shared" si="2"/>
        <v>0.19999999999999993</v>
      </c>
    </row>
    <row r="134" spans="1:9" x14ac:dyDescent="0.3">
      <c r="A134" s="3">
        <v>44228</v>
      </c>
      <c r="B134" s="2" t="s">
        <v>7</v>
      </c>
      <c r="C134" s="2" t="s">
        <v>8</v>
      </c>
      <c r="D134" s="2" t="s">
        <v>15</v>
      </c>
      <c r="E134" s="2">
        <v>24</v>
      </c>
      <c r="F134" s="4">
        <v>1.5412844036697246</v>
      </c>
      <c r="G134" s="4">
        <v>1.68</v>
      </c>
      <c r="H134" s="4">
        <v>40.32</v>
      </c>
      <c r="I134" s="5">
        <f t="shared" si="2"/>
        <v>9.0000000000000052E-2</v>
      </c>
    </row>
    <row r="135" spans="1:9" x14ac:dyDescent="0.3">
      <c r="A135" s="3">
        <v>44231</v>
      </c>
      <c r="B135" s="2" t="s">
        <v>11</v>
      </c>
      <c r="C135" s="2" t="s">
        <v>12</v>
      </c>
      <c r="D135" s="2" t="s">
        <v>13</v>
      </c>
      <c r="E135" s="2">
        <v>58</v>
      </c>
      <c r="F135" s="4">
        <v>2.0373831775700935</v>
      </c>
      <c r="G135" s="4">
        <v>2.1800000000000002</v>
      </c>
      <c r="H135" s="4">
        <v>126.44000000000001</v>
      </c>
      <c r="I135" s="5">
        <f t="shared" si="2"/>
        <v>7.0000000000000076E-2</v>
      </c>
    </row>
    <row r="136" spans="1:9" x14ac:dyDescent="0.3">
      <c r="A136" s="3">
        <v>44234</v>
      </c>
      <c r="B136" s="2" t="s">
        <v>11</v>
      </c>
      <c r="C136" s="2" t="s">
        <v>12</v>
      </c>
      <c r="D136" s="2" t="s">
        <v>13</v>
      </c>
      <c r="E136" s="2">
        <v>34</v>
      </c>
      <c r="F136" s="4">
        <v>1.5847457627118644</v>
      </c>
      <c r="G136" s="4">
        <v>1.8699999999999999</v>
      </c>
      <c r="H136" s="4">
        <v>63.58</v>
      </c>
      <c r="I136" s="5">
        <f t="shared" si="2"/>
        <v>0.17999999999999994</v>
      </c>
    </row>
    <row r="137" spans="1:9" x14ac:dyDescent="0.3">
      <c r="A137" s="3">
        <v>44237</v>
      </c>
      <c r="B137" s="2" t="s">
        <v>7</v>
      </c>
      <c r="C137" s="2" t="s">
        <v>14</v>
      </c>
      <c r="D137" s="2" t="s">
        <v>9</v>
      </c>
      <c r="E137" s="2">
        <v>34</v>
      </c>
      <c r="F137" s="4">
        <v>1.5391304347826089</v>
      </c>
      <c r="G137" s="4">
        <v>1.77</v>
      </c>
      <c r="H137" s="4">
        <v>60.18</v>
      </c>
      <c r="I137" s="5">
        <f t="shared" si="2"/>
        <v>0.14999999999999986</v>
      </c>
    </row>
    <row r="138" spans="1:9" x14ac:dyDescent="0.3">
      <c r="A138" s="3">
        <v>44240</v>
      </c>
      <c r="B138" s="2" t="s">
        <v>7</v>
      </c>
      <c r="C138" s="2" t="s">
        <v>14</v>
      </c>
      <c r="D138" s="2" t="s">
        <v>15</v>
      </c>
      <c r="E138" s="2">
        <v>21</v>
      </c>
      <c r="F138" s="4">
        <v>1.4867256637168145</v>
      </c>
      <c r="G138" s="4">
        <v>1.6800000000000002</v>
      </c>
      <c r="H138" s="4">
        <v>35.28</v>
      </c>
      <c r="I138" s="5">
        <f t="shared" si="2"/>
        <v>0.12999999999999987</v>
      </c>
    </row>
    <row r="139" spans="1:9" x14ac:dyDescent="0.3">
      <c r="A139" s="3">
        <v>44243</v>
      </c>
      <c r="B139" s="2" t="s">
        <v>11</v>
      </c>
      <c r="C139" s="2" t="s">
        <v>16</v>
      </c>
      <c r="D139" s="2" t="s">
        <v>13</v>
      </c>
      <c r="E139" s="2">
        <v>29</v>
      </c>
      <c r="F139" s="4">
        <v>2.4273504273504272</v>
      </c>
      <c r="G139" s="4">
        <v>2.84</v>
      </c>
      <c r="H139" s="4">
        <v>82.36</v>
      </c>
      <c r="I139" s="5">
        <f t="shared" si="2"/>
        <v>0.17000000000000004</v>
      </c>
    </row>
    <row r="140" spans="1:9" x14ac:dyDescent="0.3">
      <c r="A140" s="3">
        <v>44246</v>
      </c>
      <c r="B140" s="2" t="s">
        <v>7</v>
      </c>
      <c r="C140" s="2" t="s">
        <v>8</v>
      </c>
      <c r="D140" s="2" t="s">
        <v>9</v>
      </c>
      <c r="E140" s="2">
        <v>68</v>
      </c>
      <c r="F140" s="4">
        <v>1.6542056074766354</v>
      </c>
      <c r="G140" s="4">
        <v>1.77</v>
      </c>
      <c r="H140" s="4">
        <v>120.36</v>
      </c>
      <c r="I140" s="5">
        <f t="shared" si="2"/>
        <v>7.0000000000000104E-2</v>
      </c>
    </row>
    <row r="141" spans="1:9" x14ac:dyDescent="0.3">
      <c r="A141" s="3">
        <v>44249</v>
      </c>
      <c r="B141" s="2" t="s">
        <v>7</v>
      </c>
      <c r="C141" s="2" t="s">
        <v>8</v>
      </c>
      <c r="D141" s="2" t="s">
        <v>15</v>
      </c>
      <c r="E141" s="2">
        <v>31</v>
      </c>
      <c r="F141" s="4">
        <v>2.9716981132075473</v>
      </c>
      <c r="G141" s="4">
        <v>3.1500000000000004</v>
      </c>
      <c r="H141" s="4">
        <v>97.65</v>
      </c>
      <c r="I141" s="5">
        <f t="shared" si="2"/>
        <v>6.0000000000000081E-2</v>
      </c>
    </row>
    <row r="142" spans="1:9" x14ac:dyDescent="0.3">
      <c r="A142" s="3">
        <v>44252</v>
      </c>
      <c r="B142" s="2" t="s">
        <v>11</v>
      </c>
      <c r="C142" s="2" t="s">
        <v>12</v>
      </c>
      <c r="D142" s="2" t="s">
        <v>13</v>
      </c>
      <c r="E142" s="2">
        <v>30</v>
      </c>
      <c r="F142" s="4">
        <v>2.0761904761904764</v>
      </c>
      <c r="G142" s="4">
        <v>2.1800000000000002</v>
      </c>
      <c r="H142" s="4">
        <v>65.400000000000006</v>
      </c>
      <c r="I142" s="5">
        <f t="shared" si="2"/>
        <v>4.9999999999999989E-2</v>
      </c>
    </row>
    <row r="143" spans="1:9" x14ac:dyDescent="0.3">
      <c r="A143" s="3">
        <v>44255</v>
      </c>
      <c r="B143" s="2" t="s">
        <v>11</v>
      </c>
      <c r="C143" s="2" t="s">
        <v>12</v>
      </c>
      <c r="D143" s="2" t="s">
        <v>13</v>
      </c>
      <c r="E143" s="2">
        <v>232</v>
      </c>
      <c r="F143" s="4">
        <v>1.8155339805825241</v>
      </c>
      <c r="G143" s="4">
        <v>1.8699999999999999</v>
      </c>
      <c r="H143" s="4">
        <v>433.84</v>
      </c>
      <c r="I143" s="5">
        <f t="shared" si="2"/>
        <v>3.0000000000000016E-2</v>
      </c>
    </row>
    <row r="144" spans="1:9" x14ac:dyDescent="0.3">
      <c r="A144" s="3">
        <v>44257</v>
      </c>
      <c r="B144" s="2" t="s">
        <v>7</v>
      </c>
      <c r="C144" s="2" t="s">
        <v>14</v>
      </c>
      <c r="D144" s="2" t="s">
        <v>9</v>
      </c>
      <c r="E144" s="2">
        <v>68</v>
      </c>
      <c r="F144" s="4">
        <v>1.7980769230769229</v>
      </c>
      <c r="G144" s="4">
        <v>1.8699999999999999</v>
      </c>
      <c r="H144" s="4">
        <v>127.16</v>
      </c>
      <c r="I144" s="5">
        <f t="shared" si="2"/>
        <v>4.0000000000000036E-2</v>
      </c>
    </row>
    <row r="145" spans="1:9" x14ac:dyDescent="0.3">
      <c r="A145" s="3">
        <v>44260</v>
      </c>
      <c r="B145" s="2" t="s">
        <v>7</v>
      </c>
      <c r="C145" s="2" t="s">
        <v>14</v>
      </c>
      <c r="D145" s="2" t="s">
        <v>13</v>
      </c>
      <c r="E145" s="2">
        <v>97</v>
      </c>
      <c r="F145" s="4">
        <v>2.5357142857142856</v>
      </c>
      <c r="G145" s="4">
        <v>2.8400000000000003</v>
      </c>
      <c r="H145" s="4">
        <v>275.48</v>
      </c>
      <c r="I145" s="5">
        <f t="shared" si="2"/>
        <v>0.12000000000000018</v>
      </c>
    </row>
    <row r="146" spans="1:9" x14ac:dyDescent="0.3">
      <c r="A146" s="3">
        <v>44263</v>
      </c>
      <c r="B146" s="2" t="s">
        <v>11</v>
      </c>
      <c r="C146" s="2" t="s">
        <v>16</v>
      </c>
      <c r="D146" s="2" t="s">
        <v>9</v>
      </c>
      <c r="E146" s="2">
        <v>86</v>
      </c>
      <c r="F146" s="4">
        <v>1.6260869565217391</v>
      </c>
      <c r="G146" s="4">
        <v>1.8699999999999999</v>
      </c>
      <c r="H146" s="4">
        <v>160.82</v>
      </c>
      <c r="I146" s="5">
        <f t="shared" si="2"/>
        <v>0.14999999999999997</v>
      </c>
    </row>
    <row r="147" spans="1:9" x14ac:dyDescent="0.3">
      <c r="A147" s="3">
        <v>44266</v>
      </c>
      <c r="B147" s="2" t="s">
        <v>11</v>
      </c>
      <c r="C147" s="2" t="s">
        <v>16</v>
      </c>
      <c r="D147" s="2" t="s">
        <v>15</v>
      </c>
      <c r="E147" s="2">
        <v>41</v>
      </c>
      <c r="F147" s="4">
        <v>1.4</v>
      </c>
      <c r="G147" s="4">
        <v>1.68</v>
      </c>
      <c r="H147" s="4">
        <v>68.88</v>
      </c>
      <c r="I147" s="5">
        <f t="shared" si="2"/>
        <v>0.20000000000000004</v>
      </c>
    </row>
    <row r="148" spans="1:9" x14ac:dyDescent="0.3">
      <c r="A148" s="3">
        <v>44269</v>
      </c>
      <c r="B148" s="2" t="s">
        <v>7</v>
      </c>
      <c r="C148" s="2" t="s">
        <v>8</v>
      </c>
      <c r="D148" s="2" t="s">
        <v>9</v>
      </c>
      <c r="E148" s="2">
        <v>93</v>
      </c>
      <c r="F148" s="4">
        <v>1.5526315789473684</v>
      </c>
      <c r="G148" s="4">
        <v>1.7700000000000002</v>
      </c>
      <c r="H148" s="4">
        <v>164.61</v>
      </c>
      <c r="I148" s="5">
        <f t="shared" si="2"/>
        <v>0.14000000000000021</v>
      </c>
    </row>
    <row r="149" spans="1:9" x14ac:dyDescent="0.3">
      <c r="A149" s="3">
        <v>44272</v>
      </c>
      <c r="B149" s="2" t="s">
        <v>7</v>
      </c>
      <c r="C149" s="2" t="s">
        <v>8</v>
      </c>
      <c r="D149" s="2" t="s">
        <v>15</v>
      </c>
      <c r="E149" s="2">
        <v>47</v>
      </c>
      <c r="F149" s="4">
        <v>1.5999999999999999</v>
      </c>
      <c r="G149" s="4">
        <v>1.68</v>
      </c>
      <c r="H149" s="4">
        <v>78.959999999999994</v>
      </c>
      <c r="I149" s="5">
        <f t="shared" si="2"/>
        <v>5.0000000000000051E-2</v>
      </c>
    </row>
    <row r="150" spans="1:9" x14ac:dyDescent="0.3">
      <c r="A150" s="3">
        <v>44275</v>
      </c>
      <c r="B150" s="2" t="s">
        <v>11</v>
      </c>
      <c r="C150" s="2" t="s">
        <v>12</v>
      </c>
      <c r="D150" s="2" t="s">
        <v>9</v>
      </c>
      <c r="E150" s="2">
        <v>103</v>
      </c>
      <c r="F150" s="4">
        <v>1.7352941176470589</v>
      </c>
      <c r="G150" s="4">
        <v>1.77</v>
      </c>
      <c r="H150" s="4">
        <v>182.31</v>
      </c>
      <c r="I150" s="5">
        <f t="shared" si="2"/>
        <v>1.999999999999998E-2</v>
      </c>
    </row>
    <row r="151" spans="1:9" x14ac:dyDescent="0.3">
      <c r="A151" s="3">
        <v>44278</v>
      </c>
      <c r="B151" s="2" t="s">
        <v>11</v>
      </c>
      <c r="C151" s="2" t="s">
        <v>12</v>
      </c>
      <c r="D151" s="2" t="s">
        <v>15</v>
      </c>
      <c r="E151" s="2">
        <v>33</v>
      </c>
      <c r="F151" s="4">
        <v>1.4</v>
      </c>
      <c r="G151" s="4">
        <v>1.68</v>
      </c>
      <c r="H151" s="4">
        <v>55.44</v>
      </c>
      <c r="I151" s="5">
        <f t="shared" si="2"/>
        <v>0.20000000000000004</v>
      </c>
    </row>
    <row r="152" spans="1:9" x14ac:dyDescent="0.3">
      <c r="A152" s="3">
        <v>44281</v>
      </c>
      <c r="B152" s="2" t="s">
        <v>7</v>
      </c>
      <c r="C152" s="2" t="s">
        <v>14</v>
      </c>
      <c r="D152" s="2" t="s">
        <v>9</v>
      </c>
      <c r="E152" s="2">
        <v>57</v>
      </c>
      <c r="F152" s="4">
        <v>1.5982905982905984</v>
      </c>
      <c r="G152" s="4">
        <v>1.87</v>
      </c>
      <c r="H152" s="4">
        <v>106.59</v>
      </c>
      <c r="I152" s="5">
        <f t="shared" si="2"/>
        <v>0.16999999999999998</v>
      </c>
    </row>
    <row r="153" spans="1:9" x14ac:dyDescent="0.3">
      <c r="A153" s="3">
        <v>44284</v>
      </c>
      <c r="B153" s="2" t="s">
        <v>7</v>
      </c>
      <c r="C153" s="2" t="s">
        <v>14</v>
      </c>
      <c r="D153" s="2" t="s">
        <v>13</v>
      </c>
      <c r="E153" s="2">
        <v>65</v>
      </c>
      <c r="F153" s="4">
        <v>2.4273504273504272</v>
      </c>
      <c r="G153" s="4">
        <v>2.84</v>
      </c>
      <c r="H153" s="4">
        <v>184.6</v>
      </c>
      <c r="I153" s="5">
        <f t="shared" si="2"/>
        <v>0.17000000000000004</v>
      </c>
    </row>
    <row r="154" spans="1:9" x14ac:dyDescent="0.3">
      <c r="A154" s="3">
        <v>44287</v>
      </c>
      <c r="B154" s="2" t="s">
        <v>11</v>
      </c>
      <c r="C154" s="2" t="s">
        <v>16</v>
      </c>
      <c r="D154" s="2" t="s">
        <v>9</v>
      </c>
      <c r="E154" s="2">
        <v>118</v>
      </c>
      <c r="F154" s="4">
        <v>1.4508196721311475</v>
      </c>
      <c r="G154" s="4">
        <v>1.77</v>
      </c>
      <c r="H154" s="4">
        <v>208.86</v>
      </c>
      <c r="I154" s="5">
        <f t="shared" si="2"/>
        <v>0.22000000000000006</v>
      </c>
    </row>
    <row r="155" spans="1:9" x14ac:dyDescent="0.3">
      <c r="A155" s="3">
        <v>44290</v>
      </c>
      <c r="B155" s="2" t="s">
        <v>7</v>
      </c>
      <c r="C155" s="2" t="s">
        <v>8</v>
      </c>
      <c r="D155" s="2" t="s">
        <v>13</v>
      </c>
      <c r="E155" s="2">
        <v>36</v>
      </c>
      <c r="F155" s="4">
        <v>2.1372549019607843</v>
      </c>
      <c r="G155" s="4">
        <v>2.1800000000000002</v>
      </c>
      <c r="H155" s="4">
        <v>78.48</v>
      </c>
      <c r="I155" s="5">
        <f t="shared" si="2"/>
        <v>2.0000000000000094E-2</v>
      </c>
    </row>
    <row r="156" spans="1:9" x14ac:dyDescent="0.3">
      <c r="A156" s="3">
        <v>44293</v>
      </c>
      <c r="B156" s="2" t="s">
        <v>7</v>
      </c>
      <c r="C156" s="2" t="s">
        <v>8</v>
      </c>
      <c r="D156" s="2" t="s">
        <v>13</v>
      </c>
      <c r="E156" s="2">
        <v>123</v>
      </c>
      <c r="F156" s="4">
        <v>2.6055045871559628</v>
      </c>
      <c r="G156" s="4">
        <v>2.84</v>
      </c>
      <c r="H156" s="4">
        <v>349.32</v>
      </c>
      <c r="I156" s="5">
        <f t="shared" si="2"/>
        <v>9.0000000000000163E-2</v>
      </c>
    </row>
    <row r="157" spans="1:9" x14ac:dyDescent="0.3">
      <c r="A157" s="3">
        <v>44296</v>
      </c>
      <c r="B157" s="2" t="s">
        <v>11</v>
      </c>
      <c r="C157" s="2" t="s">
        <v>12</v>
      </c>
      <c r="D157" s="2" t="s">
        <v>9</v>
      </c>
      <c r="E157" s="2">
        <v>90</v>
      </c>
      <c r="F157" s="4">
        <v>1.4628099173553719</v>
      </c>
      <c r="G157" s="4">
        <v>1.77</v>
      </c>
      <c r="H157" s="4">
        <v>159.30000000000001</v>
      </c>
      <c r="I157" s="5">
        <f t="shared" si="2"/>
        <v>0.21</v>
      </c>
    </row>
    <row r="158" spans="1:9" x14ac:dyDescent="0.3">
      <c r="A158" s="3">
        <v>44299</v>
      </c>
      <c r="B158" s="2" t="s">
        <v>11</v>
      </c>
      <c r="C158" s="2" t="s">
        <v>12</v>
      </c>
      <c r="D158" s="2" t="s">
        <v>10</v>
      </c>
      <c r="E158" s="2">
        <v>21</v>
      </c>
      <c r="F158" s="4">
        <v>2.9576271186440684</v>
      </c>
      <c r="G158" s="4">
        <v>3.49</v>
      </c>
      <c r="H158" s="4">
        <v>73.290000000000006</v>
      </c>
      <c r="I158" s="5">
        <f t="shared" si="2"/>
        <v>0.17999999999999985</v>
      </c>
    </row>
    <row r="159" spans="1:9" x14ac:dyDescent="0.3">
      <c r="A159" s="3">
        <v>44302</v>
      </c>
      <c r="B159" s="2" t="s">
        <v>7</v>
      </c>
      <c r="C159" s="2" t="s">
        <v>14</v>
      </c>
      <c r="D159" s="2" t="s">
        <v>9</v>
      </c>
      <c r="E159" s="2">
        <v>48</v>
      </c>
      <c r="F159" s="4">
        <v>1.7019230769230766</v>
      </c>
      <c r="G159" s="4">
        <v>1.7699999999999998</v>
      </c>
      <c r="H159" s="4">
        <v>84.96</v>
      </c>
      <c r="I159" s="5">
        <f t="shared" si="2"/>
        <v>4.0000000000000049E-2</v>
      </c>
    </row>
    <row r="160" spans="1:9" x14ac:dyDescent="0.3">
      <c r="A160" s="3">
        <v>44305</v>
      </c>
      <c r="B160" s="2" t="s">
        <v>7</v>
      </c>
      <c r="C160" s="2" t="s">
        <v>14</v>
      </c>
      <c r="D160" s="2" t="s">
        <v>15</v>
      </c>
      <c r="E160" s="2">
        <v>24</v>
      </c>
      <c r="F160" s="4">
        <v>1.4867256637168142</v>
      </c>
      <c r="G160" s="4">
        <v>1.68</v>
      </c>
      <c r="H160" s="4">
        <v>40.32</v>
      </c>
      <c r="I160" s="5">
        <f t="shared" si="2"/>
        <v>0.12999999999999989</v>
      </c>
    </row>
    <row r="161" spans="1:9" x14ac:dyDescent="0.3">
      <c r="A161" s="3">
        <v>44308</v>
      </c>
      <c r="B161" s="2" t="s">
        <v>11</v>
      </c>
      <c r="C161" s="2" t="s">
        <v>16</v>
      </c>
      <c r="D161" s="2" t="s">
        <v>13</v>
      </c>
      <c r="E161" s="2">
        <v>67</v>
      </c>
      <c r="F161" s="4">
        <v>1.7</v>
      </c>
      <c r="G161" s="4">
        <v>1.87</v>
      </c>
      <c r="H161" s="4">
        <v>125.29</v>
      </c>
      <c r="I161" s="5">
        <f t="shared" si="2"/>
        <v>0.10000000000000009</v>
      </c>
    </row>
    <row r="162" spans="1:9" x14ac:dyDescent="0.3">
      <c r="A162" s="3">
        <v>44311</v>
      </c>
      <c r="B162" s="2" t="s">
        <v>7</v>
      </c>
      <c r="C162" s="2" t="s">
        <v>8</v>
      </c>
      <c r="D162" s="2" t="s">
        <v>9</v>
      </c>
      <c r="E162" s="2">
        <v>27</v>
      </c>
      <c r="F162" s="4">
        <v>1.7</v>
      </c>
      <c r="G162" s="4">
        <v>1.87</v>
      </c>
      <c r="H162" s="4">
        <v>50.49</v>
      </c>
      <c r="I162" s="5">
        <f t="shared" si="2"/>
        <v>0.10000000000000009</v>
      </c>
    </row>
    <row r="163" spans="1:9" x14ac:dyDescent="0.3">
      <c r="A163" s="3">
        <v>44314</v>
      </c>
      <c r="B163" s="2" t="s">
        <v>7</v>
      </c>
      <c r="C163" s="2" t="s">
        <v>8</v>
      </c>
      <c r="D163" s="2" t="s">
        <v>13</v>
      </c>
      <c r="E163" s="2">
        <v>129</v>
      </c>
      <c r="F163" s="4">
        <v>2.5132743362831862</v>
      </c>
      <c r="G163" s="4">
        <v>2.8400000000000003</v>
      </c>
      <c r="H163" s="4">
        <v>366.36</v>
      </c>
      <c r="I163" s="5">
        <f t="shared" si="2"/>
        <v>0.12999999999999995</v>
      </c>
    </row>
    <row r="164" spans="1:9" x14ac:dyDescent="0.3">
      <c r="A164" s="3">
        <v>44317</v>
      </c>
      <c r="B164" s="2" t="s">
        <v>11</v>
      </c>
      <c r="C164" s="2" t="s">
        <v>12</v>
      </c>
      <c r="D164" s="2" t="s">
        <v>13</v>
      </c>
      <c r="E164" s="2">
        <v>77</v>
      </c>
      <c r="F164" s="4">
        <v>1.8016528925619837</v>
      </c>
      <c r="G164" s="4">
        <v>2.1800000000000002</v>
      </c>
      <c r="H164" s="4">
        <v>167.86</v>
      </c>
      <c r="I164" s="5">
        <f t="shared" si="2"/>
        <v>0.20999999999999994</v>
      </c>
    </row>
    <row r="165" spans="1:9" x14ac:dyDescent="0.3">
      <c r="A165" s="3">
        <v>44320</v>
      </c>
      <c r="B165" s="2" t="s">
        <v>11</v>
      </c>
      <c r="C165" s="2" t="s">
        <v>12</v>
      </c>
      <c r="D165" s="2" t="s">
        <v>13</v>
      </c>
      <c r="E165" s="2">
        <v>58</v>
      </c>
      <c r="F165" s="4">
        <v>1.7641509433962261</v>
      </c>
      <c r="G165" s="4">
        <v>1.8699999999999999</v>
      </c>
      <c r="H165" s="4">
        <v>108.46</v>
      </c>
      <c r="I165" s="5">
        <f t="shared" si="2"/>
        <v>6.0000000000000102E-2</v>
      </c>
    </row>
    <row r="166" spans="1:9" x14ac:dyDescent="0.3">
      <c r="A166" s="3">
        <v>44323</v>
      </c>
      <c r="B166" s="2" t="s">
        <v>7</v>
      </c>
      <c r="C166" s="2" t="s">
        <v>14</v>
      </c>
      <c r="D166" s="2" t="s">
        <v>9</v>
      </c>
      <c r="E166" s="2">
        <v>47</v>
      </c>
      <c r="F166" s="4">
        <v>1.6846846846846846</v>
      </c>
      <c r="G166" s="4">
        <v>1.87</v>
      </c>
      <c r="H166" s="4">
        <v>87.89</v>
      </c>
      <c r="I166" s="5">
        <f t="shared" si="2"/>
        <v>0.11000000000000014</v>
      </c>
    </row>
    <row r="167" spans="1:9" x14ac:dyDescent="0.3">
      <c r="A167" s="3">
        <v>44326</v>
      </c>
      <c r="B167" s="2" t="s">
        <v>7</v>
      </c>
      <c r="C167" s="2" t="s">
        <v>14</v>
      </c>
      <c r="D167" s="2" t="s">
        <v>13</v>
      </c>
      <c r="E167" s="2">
        <v>33</v>
      </c>
      <c r="F167" s="4">
        <v>2.7047619047619045</v>
      </c>
      <c r="G167" s="4">
        <v>2.84</v>
      </c>
      <c r="H167" s="4">
        <v>93.72</v>
      </c>
      <c r="I167" s="5">
        <f t="shared" si="2"/>
        <v>5.0000000000000058E-2</v>
      </c>
    </row>
    <row r="168" spans="1:9" x14ac:dyDescent="0.3">
      <c r="A168" s="3">
        <v>44329</v>
      </c>
      <c r="B168" s="2" t="s">
        <v>11</v>
      </c>
      <c r="C168" s="2" t="s">
        <v>16</v>
      </c>
      <c r="D168" s="2" t="s">
        <v>13</v>
      </c>
      <c r="E168" s="2">
        <v>82</v>
      </c>
      <c r="F168" s="4">
        <v>1.5714285714285716</v>
      </c>
      <c r="G168" s="4">
        <v>1.87</v>
      </c>
      <c r="H168" s="4">
        <v>153.34</v>
      </c>
      <c r="I168" s="5">
        <f t="shared" si="2"/>
        <v>0.18999999999999992</v>
      </c>
    </row>
    <row r="169" spans="1:9" x14ac:dyDescent="0.3">
      <c r="A169" s="3">
        <v>44332</v>
      </c>
      <c r="B169" s="2" t="s">
        <v>7</v>
      </c>
      <c r="C169" s="2" t="s">
        <v>8</v>
      </c>
      <c r="D169" s="2" t="s">
        <v>9</v>
      </c>
      <c r="E169" s="2">
        <v>58</v>
      </c>
      <c r="F169" s="4">
        <v>1.6388888888888888</v>
      </c>
      <c r="G169" s="4">
        <v>1.77</v>
      </c>
      <c r="H169" s="4">
        <v>102.66</v>
      </c>
      <c r="I169" s="5">
        <f t="shared" si="2"/>
        <v>8.0000000000000043E-2</v>
      </c>
    </row>
    <row r="170" spans="1:9" x14ac:dyDescent="0.3">
      <c r="A170" s="3">
        <v>44335</v>
      </c>
      <c r="B170" s="2" t="s">
        <v>7</v>
      </c>
      <c r="C170" s="2" t="s">
        <v>8</v>
      </c>
      <c r="D170" s="2" t="s">
        <v>15</v>
      </c>
      <c r="E170" s="2">
        <v>30</v>
      </c>
      <c r="F170" s="4">
        <v>2.9716981132075468</v>
      </c>
      <c r="G170" s="4">
        <v>3.15</v>
      </c>
      <c r="H170" s="4">
        <v>94.5</v>
      </c>
      <c r="I170" s="5">
        <f t="shared" si="2"/>
        <v>6.0000000000000088E-2</v>
      </c>
    </row>
    <row r="171" spans="1:9" x14ac:dyDescent="0.3">
      <c r="A171" s="3">
        <v>44338</v>
      </c>
      <c r="B171" s="2" t="s">
        <v>11</v>
      </c>
      <c r="C171" s="2" t="s">
        <v>12</v>
      </c>
      <c r="D171" s="2" t="s">
        <v>13</v>
      </c>
      <c r="E171" s="2">
        <v>43</v>
      </c>
      <c r="F171" s="4">
        <v>1.5714285714285714</v>
      </c>
      <c r="G171" s="4">
        <v>1.8699999999999999</v>
      </c>
      <c r="H171" s="4">
        <v>80.41</v>
      </c>
      <c r="I171" s="5">
        <f t="shared" si="2"/>
        <v>0.18999999999999995</v>
      </c>
    </row>
    <row r="172" spans="1:9" x14ac:dyDescent="0.3">
      <c r="A172" s="3">
        <v>44341</v>
      </c>
      <c r="B172" s="2" t="s">
        <v>7</v>
      </c>
      <c r="C172" s="2" t="s">
        <v>14</v>
      </c>
      <c r="D172" s="2" t="s">
        <v>9</v>
      </c>
      <c r="E172" s="2">
        <v>84</v>
      </c>
      <c r="F172" s="4">
        <v>1.7019230769230769</v>
      </c>
      <c r="G172" s="4">
        <v>1.77</v>
      </c>
      <c r="H172" s="4">
        <v>148.68</v>
      </c>
      <c r="I172" s="5">
        <f t="shared" si="2"/>
        <v>4.0000000000000042E-2</v>
      </c>
    </row>
    <row r="173" spans="1:9" x14ac:dyDescent="0.3">
      <c r="A173" s="3">
        <v>44344</v>
      </c>
      <c r="B173" s="2" t="s">
        <v>11</v>
      </c>
      <c r="C173" s="2" t="s">
        <v>16</v>
      </c>
      <c r="D173" s="2" t="s">
        <v>13</v>
      </c>
      <c r="E173" s="2">
        <v>36</v>
      </c>
      <c r="F173" s="4">
        <v>1.8793103448275865</v>
      </c>
      <c r="G173" s="4">
        <v>2.1800000000000002</v>
      </c>
      <c r="H173" s="4">
        <v>78.48</v>
      </c>
      <c r="I173" s="5">
        <f t="shared" si="2"/>
        <v>0.15999999999999989</v>
      </c>
    </row>
    <row r="174" spans="1:9" x14ac:dyDescent="0.3">
      <c r="A174" s="3">
        <v>44347</v>
      </c>
      <c r="B174" s="2" t="s">
        <v>11</v>
      </c>
      <c r="C174" s="2" t="s">
        <v>16</v>
      </c>
      <c r="D174" s="2" t="s">
        <v>13</v>
      </c>
      <c r="E174" s="2">
        <v>44</v>
      </c>
      <c r="F174" s="4">
        <v>2.6792452830188678</v>
      </c>
      <c r="G174" s="4">
        <v>2.84</v>
      </c>
      <c r="H174" s="4">
        <v>124.96</v>
      </c>
      <c r="I174" s="5">
        <f t="shared" si="2"/>
        <v>6.0000000000000005E-2</v>
      </c>
    </row>
    <row r="175" spans="1:9" x14ac:dyDescent="0.3">
      <c r="A175" s="3">
        <v>44350</v>
      </c>
      <c r="B175" s="2" t="s">
        <v>7</v>
      </c>
      <c r="C175" s="2" t="s">
        <v>8</v>
      </c>
      <c r="D175" s="2" t="s">
        <v>9</v>
      </c>
      <c r="E175" s="2">
        <v>27</v>
      </c>
      <c r="F175" s="4">
        <v>1.7980769230769231</v>
      </c>
      <c r="G175" s="4">
        <v>1.87</v>
      </c>
      <c r="H175" s="4">
        <v>50.49</v>
      </c>
      <c r="I175" s="5">
        <f t="shared" si="2"/>
        <v>4.0000000000000029E-2</v>
      </c>
    </row>
    <row r="176" spans="1:9" x14ac:dyDescent="0.3">
      <c r="A176" s="3">
        <v>44353</v>
      </c>
      <c r="B176" s="2" t="s">
        <v>7</v>
      </c>
      <c r="C176" s="2" t="s">
        <v>8</v>
      </c>
      <c r="D176" s="2" t="s">
        <v>13</v>
      </c>
      <c r="E176" s="2">
        <v>120</v>
      </c>
      <c r="F176" s="4">
        <v>2.3666666666666671</v>
      </c>
      <c r="G176" s="4">
        <v>2.8400000000000003</v>
      </c>
      <c r="H176" s="4">
        <v>340.8</v>
      </c>
      <c r="I176" s="5">
        <f t="shared" si="2"/>
        <v>0.1999999999999999</v>
      </c>
    </row>
    <row r="177" spans="1:9" x14ac:dyDescent="0.3">
      <c r="A177" s="3">
        <v>44356</v>
      </c>
      <c r="B177" s="2" t="s">
        <v>7</v>
      </c>
      <c r="C177" s="2" t="s">
        <v>8</v>
      </c>
      <c r="D177" s="2" t="s">
        <v>10</v>
      </c>
      <c r="E177" s="2">
        <v>26</v>
      </c>
      <c r="F177" s="4">
        <v>3.0347826086956524</v>
      </c>
      <c r="G177" s="4">
        <v>3.4899999999999998</v>
      </c>
      <c r="H177" s="4">
        <v>90.74</v>
      </c>
      <c r="I177" s="5">
        <f t="shared" si="2"/>
        <v>0.14999999999999983</v>
      </c>
    </row>
    <row r="178" spans="1:9" x14ac:dyDescent="0.3">
      <c r="A178" s="3">
        <v>44359</v>
      </c>
      <c r="B178" s="2" t="s">
        <v>11</v>
      </c>
      <c r="C178" s="2" t="s">
        <v>12</v>
      </c>
      <c r="D178" s="2" t="s">
        <v>9</v>
      </c>
      <c r="E178" s="2">
        <v>73</v>
      </c>
      <c r="F178" s="4">
        <v>1.6388888888888888</v>
      </c>
      <c r="G178" s="4">
        <v>1.77</v>
      </c>
      <c r="H178" s="4">
        <v>129.21</v>
      </c>
      <c r="I178" s="5">
        <f t="shared" si="2"/>
        <v>8.0000000000000043E-2</v>
      </c>
    </row>
    <row r="179" spans="1:9" x14ac:dyDescent="0.3">
      <c r="A179" s="3">
        <v>44362</v>
      </c>
      <c r="B179" s="2" t="s">
        <v>7</v>
      </c>
      <c r="C179" s="2" t="s">
        <v>14</v>
      </c>
      <c r="D179" s="2" t="s">
        <v>9</v>
      </c>
      <c r="E179" s="2">
        <v>38</v>
      </c>
      <c r="F179" s="4">
        <v>1.5714285714285716</v>
      </c>
      <c r="G179" s="4">
        <v>1.87</v>
      </c>
      <c r="H179" s="4">
        <v>71.06</v>
      </c>
      <c r="I179" s="5">
        <f t="shared" si="2"/>
        <v>0.18999999999999992</v>
      </c>
    </row>
    <row r="180" spans="1:9" x14ac:dyDescent="0.3">
      <c r="A180" s="3">
        <v>44365</v>
      </c>
      <c r="B180" s="2" t="s">
        <v>7</v>
      </c>
      <c r="C180" s="2" t="s">
        <v>14</v>
      </c>
      <c r="D180" s="2" t="s">
        <v>13</v>
      </c>
      <c r="E180" s="2">
        <v>40</v>
      </c>
      <c r="F180" s="4">
        <v>2.4695652173913043</v>
      </c>
      <c r="G180" s="4">
        <v>2.84</v>
      </c>
      <c r="H180" s="4">
        <v>113.6</v>
      </c>
      <c r="I180" s="5">
        <f t="shared" si="2"/>
        <v>0.14999999999999997</v>
      </c>
    </row>
    <row r="181" spans="1:9" x14ac:dyDescent="0.3">
      <c r="A181" s="3">
        <v>44368</v>
      </c>
      <c r="B181" s="2" t="s">
        <v>11</v>
      </c>
      <c r="C181" s="2" t="s">
        <v>16</v>
      </c>
      <c r="D181" s="2" t="s">
        <v>9</v>
      </c>
      <c r="E181" s="2">
        <v>41</v>
      </c>
      <c r="F181" s="4">
        <v>1.5258620689655171</v>
      </c>
      <c r="G181" s="4">
        <v>1.7699999999999998</v>
      </c>
      <c r="H181" s="4">
        <v>72.569999999999993</v>
      </c>
      <c r="I181" s="5">
        <f t="shared" si="2"/>
        <v>0.15999999999999995</v>
      </c>
    </row>
    <row r="182" spans="1:9" x14ac:dyDescent="0.3">
      <c r="A182" s="3">
        <v>44371</v>
      </c>
      <c r="B182" s="2" t="s">
        <v>7</v>
      </c>
      <c r="C182" s="2" t="s">
        <v>8</v>
      </c>
      <c r="D182" s="2" t="s">
        <v>9</v>
      </c>
      <c r="E182" s="2">
        <v>27</v>
      </c>
      <c r="F182" s="4">
        <v>2.1018518518518516</v>
      </c>
      <c r="G182" s="4">
        <v>2.27</v>
      </c>
      <c r="H182" s="4">
        <v>61.29</v>
      </c>
      <c r="I182" s="5">
        <f t="shared" si="2"/>
        <v>8.0000000000000113E-2</v>
      </c>
    </row>
    <row r="183" spans="1:9" x14ac:dyDescent="0.3">
      <c r="A183" s="3">
        <v>44374</v>
      </c>
      <c r="B183" s="2" t="s">
        <v>7</v>
      </c>
      <c r="C183" s="2" t="s">
        <v>8</v>
      </c>
      <c r="D183" s="2" t="s">
        <v>13</v>
      </c>
      <c r="E183" s="2">
        <v>38</v>
      </c>
      <c r="F183" s="4">
        <v>1.6120689655172415</v>
      </c>
      <c r="G183" s="4">
        <v>1.87</v>
      </c>
      <c r="H183" s="4">
        <v>71.06</v>
      </c>
      <c r="I183" s="5">
        <f t="shared" si="2"/>
        <v>0.15999999999999995</v>
      </c>
    </row>
    <row r="184" spans="1:9" x14ac:dyDescent="0.3">
      <c r="A184" s="3">
        <v>44377</v>
      </c>
      <c r="B184" s="2" t="s">
        <v>7</v>
      </c>
      <c r="C184" s="2" t="s">
        <v>8</v>
      </c>
      <c r="D184" s="2" t="s">
        <v>10</v>
      </c>
      <c r="E184" s="2">
        <v>34</v>
      </c>
      <c r="F184" s="4">
        <v>3.1441441441441436</v>
      </c>
      <c r="G184" s="4">
        <v>3.4899999999999998</v>
      </c>
      <c r="H184" s="4">
        <v>118.66</v>
      </c>
      <c r="I184" s="5">
        <f t="shared" si="2"/>
        <v>0.11000000000000014</v>
      </c>
    </row>
    <row r="185" spans="1:9" x14ac:dyDescent="0.3">
      <c r="A185" s="3">
        <v>44380</v>
      </c>
      <c r="B185" s="2" t="s">
        <v>11</v>
      </c>
      <c r="C185" s="2" t="s">
        <v>12</v>
      </c>
      <c r="D185" s="2" t="s">
        <v>9</v>
      </c>
      <c r="E185" s="2">
        <v>65</v>
      </c>
      <c r="F185" s="4">
        <v>1.5847457627118644</v>
      </c>
      <c r="G185" s="4">
        <v>1.8699999999999999</v>
      </c>
      <c r="H185" s="4">
        <v>121.55</v>
      </c>
      <c r="I185" s="5">
        <f t="shared" si="2"/>
        <v>0.17999999999999994</v>
      </c>
    </row>
    <row r="186" spans="1:9" x14ac:dyDescent="0.3">
      <c r="A186" s="3">
        <v>44383</v>
      </c>
      <c r="B186" s="2" t="s">
        <v>11</v>
      </c>
      <c r="C186" s="2" t="s">
        <v>12</v>
      </c>
      <c r="D186" s="2" t="s">
        <v>13</v>
      </c>
      <c r="E186" s="2">
        <v>60</v>
      </c>
      <c r="F186" s="4">
        <v>2.3865546218487399</v>
      </c>
      <c r="G186" s="4">
        <v>2.8400000000000003</v>
      </c>
      <c r="H186" s="4">
        <v>170.4</v>
      </c>
      <c r="I186" s="5">
        <f t="shared" si="2"/>
        <v>0.18999999999999992</v>
      </c>
    </row>
    <row r="187" spans="1:9" x14ac:dyDescent="0.3">
      <c r="A187" s="3">
        <v>44386</v>
      </c>
      <c r="B187" s="2" t="s">
        <v>7</v>
      </c>
      <c r="C187" s="2" t="s">
        <v>14</v>
      </c>
      <c r="D187" s="2" t="s">
        <v>13</v>
      </c>
      <c r="E187" s="2">
        <v>37</v>
      </c>
      <c r="F187" s="4">
        <v>1.9818181818181815</v>
      </c>
      <c r="G187" s="4">
        <v>2.1799999999999997</v>
      </c>
      <c r="H187" s="4">
        <v>80.66</v>
      </c>
      <c r="I187" s="5">
        <f t="shared" si="2"/>
        <v>0.10000000000000005</v>
      </c>
    </row>
    <row r="188" spans="1:9" x14ac:dyDescent="0.3">
      <c r="A188" s="3">
        <v>44389</v>
      </c>
      <c r="B188" s="2" t="s">
        <v>7</v>
      </c>
      <c r="C188" s="2" t="s">
        <v>14</v>
      </c>
      <c r="D188" s="2" t="s">
        <v>13</v>
      </c>
      <c r="E188" s="2">
        <v>40</v>
      </c>
      <c r="F188" s="4">
        <v>1.8155339805825241</v>
      </c>
      <c r="G188" s="4">
        <v>1.8699999999999999</v>
      </c>
      <c r="H188" s="4">
        <v>74.8</v>
      </c>
      <c r="I188" s="5">
        <f t="shared" si="2"/>
        <v>3.0000000000000016E-2</v>
      </c>
    </row>
    <row r="189" spans="1:9" x14ac:dyDescent="0.3">
      <c r="A189" s="3">
        <v>44392</v>
      </c>
      <c r="B189" s="2" t="s">
        <v>11</v>
      </c>
      <c r="C189" s="2" t="s">
        <v>16</v>
      </c>
      <c r="D189" s="2" t="s">
        <v>9</v>
      </c>
      <c r="E189" s="2">
        <v>26</v>
      </c>
      <c r="F189" s="4">
        <v>1.6120689655172413</v>
      </c>
      <c r="G189" s="4">
        <v>1.8699999999999999</v>
      </c>
      <c r="H189" s="4">
        <v>48.62</v>
      </c>
      <c r="I189" s="5">
        <f t="shared" si="2"/>
        <v>0.15999999999999998</v>
      </c>
    </row>
    <row r="190" spans="1:9" x14ac:dyDescent="0.3">
      <c r="A190" s="3">
        <v>44395</v>
      </c>
      <c r="B190" s="2" t="s">
        <v>7</v>
      </c>
      <c r="C190" s="2" t="s">
        <v>8</v>
      </c>
      <c r="D190" s="2" t="s">
        <v>9</v>
      </c>
      <c r="E190" s="2">
        <v>22</v>
      </c>
      <c r="F190" s="4">
        <v>2.1619047619047618</v>
      </c>
      <c r="G190" s="4">
        <v>2.27</v>
      </c>
      <c r="H190" s="4">
        <v>49.94</v>
      </c>
      <c r="I190" s="5">
        <f t="shared" si="2"/>
        <v>5.0000000000000072E-2</v>
      </c>
    </row>
    <row r="191" spans="1:9" x14ac:dyDescent="0.3">
      <c r="A191" s="3">
        <v>44398</v>
      </c>
      <c r="B191" s="2" t="s">
        <v>7</v>
      </c>
      <c r="C191" s="2" t="s">
        <v>8</v>
      </c>
      <c r="D191" s="2" t="s">
        <v>13</v>
      </c>
      <c r="E191" s="2">
        <v>32</v>
      </c>
      <c r="F191" s="4">
        <v>1.5714285714285716</v>
      </c>
      <c r="G191" s="4">
        <v>1.87</v>
      </c>
      <c r="H191" s="4">
        <v>59.84</v>
      </c>
      <c r="I191" s="5">
        <f t="shared" si="2"/>
        <v>0.18999999999999992</v>
      </c>
    </row>
    <row r="192" spans="1:9" x14ac:dyDescent="0.3">
      <c r="A192" s="3">
        <v>44401</v>
      </c>
      <c r="B192" s="2" t="s">
        <v>7</v>
      </c>
      <c r="C192" s="2" t="s">
        <v>8</v>
      </c>
      <c r="D192" s="2" t="s">
        <v>10</v>
      </c>
      <c r="E192" s="2">
        <v>23</v>
      </c>
      <c r="F192" s="4">
        <v>3.4215686274509802</v>
      </c>
      <c r="G192" s="4">
        <v>3.4899999999999998</v>
      </c>
      <c r="H192" s="4">
        <v>80.27</v>
      </c>
      <c r="I192" s="5">
        <f t="shared" si="2"/>
        <v>1.9999999999999983E-2</v>
      </c>
    </row>
    <row r="193" spans="1:9" x14ac:dyDescent="0.3">
      <c r="A193" s="3">
        <v>44404</v>
      </c>
      <c r="B193" s="2" t="s">
        <v>11</v>
      </c>
      <c r="C193" s="2" t="s">
        <v>12</v>
      </c>
      <c r="D193" s="2" t="s">
        <v>13</v>
      </c>
      <c r="E193" s="2">
        <v>20</v>
      </c>
      <c r="F193" s="4">
        <v>2.1372549019607843</v>
      </c>
      <c r="G193" s="4">
        <v>2.1800000000000002</v>
      </c>
      <c r="H193" s="4">
        <v>43.6</v>
      </c>
      <c r="I193" s="5">
        <f t="shared" si="2"/>
        <v>2.0000000000000094E-2</v>
      </c>
    </row>
    <row r="194" spans="1:9" x14ac:dyDescent="0.3">
      <c r="A194" s="3">
        <v>44407</v>
      </c>
      <c r="B194" s="2" t="s">
        <v>11</v>
      </c>
      <c r="C194" s="2" t="s">
        <v>12</v>
      </c>
      <c r="D194" s="2" t="s">
        <v>13</v>
      </c>
      <c r="E194" s="2">
        <v>64</v>
      </c>
      <c r="F194" s="4">
        <v>1.7641509433962264</v>
      </c>
      <c r="G194" s="4">
        <v>1.87</v>
      </c>
      <c r="H194" s="4">
        <v>119.68</v>
      </c>
      <c r="I194" s="5">
        <f t="shared" si="2"/>
        <v>6.0000000000000095E-2</v>
      </c>
    </row>
    <row r="195" spans="1:9" x14ac:dyDescent="0.3">
      <c r="A195" s="3">
        <v>44410</v>
      </c>
      <c r="B195" s="2" t="s">
        <v>7</v>
      </c>
      <c r="C195" s="2" t="s">
        <v>14</v>
      </c>
      <c r="D195" s="2" t="s">
        <v>9</v>
      </c>
      <c r="E195" s="2">
        <v>71</v>
      </c>
      <c r="F195" s="4">
        <v>1.6698113207547169</v>
      </c>
      <c r="G195" s="4">
        <v>1.77</v>
      </c>
      <c r="H195" s="4">
        <v>125.67</v>
      </c>
      <c r="I195" s="5">
        <f t="shared" ref="I195:I245" si="3">(G195-F195)/F195</f>
        <v>6.0000000000000032E-2</v>
      </c>
    </row>
    <row r="196" spans="1:9" x14ac:dyDescent="0.3">
      <c r="A196" s="3">
        <v>44413</v>
      </c>
      <c r="B196" s="2" t="s">
        <v>11</v>
      </c>
      <c r="C196" s="2" t="s">
        <v>16</v>
      </c>
      <c r="D196" s="2" t="s">
        <v>13</v>
      </c>
      <c r="E196" s="2">
        <v>90</v>
      </c>
      <c r="F196" s="4">
        <v>2.0185185185185182</v>
      </c>
      <c r="G196" s="4">
        <v>2.1799999999999997</v>
      </c>
      <c r="H196" s="4">
        <v>196.2</v>
      </c>
      <c r="I196" s="5">
        <f t="shared" si="3"/>
        <v>8.0000000000000057E-2</v>
      </c>
    </row>
    <row r="197" spans="1:9" x14ac:dyDescent="0.3">
      <c r="A197" s="3">
        <v>44416</v>
      </c>
      <c r="B197" s="2" t="s">
        <v>11</v>
      </c>
      <c r="C197" s="2" t="s">
        <v>16</v>
      </c>
      <c r="D197" s="2" t="s">
        <v>13</v>
      </c>
      <c r="E197" s="2">
        <v>38</v>
      </c>
      <c r="F197" s="4">
        <v>2.3471074380165287</v>
      </c>
      <c r="G197" s="4">
        <v>2.84</v>
      </c>
      <c r="H197" s="4">
        <v>107.91999999999999</v>
      </c>
      <c r="I197" s="5">
        <f t="shared" si="3"/>
        <v>0.21000000000000008</v>
      </c>
    </row>
    <row r="198" spans="1:9" x14ac:dyDescent="0.3">
      <c r="A198" s="3">
        <v>44419</v>
      </c>
      <c r="B198" s="2" t="s">
        <v>7</v>
      </c>
      <c r="C198" s="2" t="s">
        <v>8</v>
      </c>
      <c r="D198" s="2" t="s">
        <v>9</v>
      </c>
      <c r="E198" s="2">
        <v>55</v>
      </c>
      <c r="F198" s="4">
        <v>1.5526315789473681</v>
      </c>
      <c r="G198" s="4">
        <v>1.7699999999999998</v>
      </c>
      <c r="H198" s="4">
        <v>97.35</v>
      </c>
      <c r="I198" s="5">
        <f t="shared" si="3"/>
        <v>0.14000000000000007</v>
      </c>
    </row>
    <row r="199" spans="1:9" x14ac:dyDescent="0.3">
      <c r="A199" s="3">
        <v>44422</v>
      </c>
      <c r="B199" s="2" t="s">
        <v>7</v>
      </c>
      <c r="C199" s="2" t="s">
        <v>8</v>
      </c>
      <c r="D199" s="2" t="s">
        <v>15</v>
      </c>
      <c r="E199" s="2">
        <v>22</v>
      </c>
      <c r="F199" s="4">
        <v>2.8899082568807337</v>
      </c>
      <c r="G199" s="4">
        <v>3.15</v>
      </c>
      <c r="H199" s="4">
        <v>69.3</v>
      </c>
      <c r="I199" s="5">
        <f t="shared" si="3"/>
        <v>9.0000000000000052E-2</v>
      </c>
    </row>
    <row r="200" spans="1:9" x14ac:dyDescent="0.3">
      <c r="A200" s="3">
        <v>44425</v>
      </c>
      <c r="B200" s="2" t="s">
        <v>11</v>
      </c>
      <c r="C200" s="2" t="s">
        <v>12</v>
      </c>
      <c r="D200" s="2" t="s">
        <v>9</v>
      </c>
      <c r="E200" s="2">
        <v>34</v>
      </c>
      <c r="F200" s="4">
        <v>1.6238532110091741</v>
      </c>
      <c r="G200" s="4">
        <v>1.77</v>
      </c>
      <c r="H200" s="4">
        <v>60.18</v>
      </c>
      <c r="I200" s="5">
        <f t="shared" si="3"/>
        <v>9.0000000000000135E-2</v>
      </c>
    </row>
    <row r="201" spans="1:9" x14ac:dyDescent="0.3">
      <c r="A201" s="3">
        <v>44428</v>
      </c>
      <c r="B201" s="2" t="s">
        <v>7</v>
      </c>
      <c r="C201" s="2" t="s">
        <v>14</v>
      </c>
      <c r="D201" s="2" t="s">
        <v>9</v>
      </c>
      <c r="E201" s="2">
        <v>39</v>
      </c>
      <c r="F201" s="4">
        <v>1.8333333333333335</v>
      </c>
      <c r="G201" s="4">
        <v>1.87</v>
      </c>
      <c r="H201" s="4">
        <v>72.930000000000007</v>
      </c>
      <c r="I201" s="5">
        <f t="shared" si="3"/>
        <v>1.9999999999999976E-2</v>
      </c>
    </row>
    <row r="202" spans="1:9" x14ac:dyDescent="0.3">
      <c r="A202" s="3">
        <v>44431</v>
      </c>
      <c r="B202" s="2" t="s">
        <v>7</v>
      </c>
      <c r="C202" s="2" t="s">
        <v>14</v>
      </c>
      <c r="D202" s="2" t="s">
        <v>13</v>
      </c>
      <c r="E202" s="2">
        <v>41</v>
      </c>
      <c r="F202" s="4">
        <v>2.3666666666666667</v>
      </c>
      <c r="G202" s="4">
        <v>2.84</v>
      </c>
      <c r="H202" s="4">
        <v>116.44</v>
      </c>
      <c r="I202" s="5">
        <f t="shared" si="3"/>
        <v>0.19999999999999993</v>
      </c>
    </row>
    <row r="203" spans="1:9" x14ac:dyDescent="0.3">
      <c r="A203" s="3">
        <v>44434</v>
      </c>
      <c r="B203" s="2" t="s">
        <v>11</v>
      </c>
      <c r="C203" s="2" t="s">
        <v>16</v>
      </c>
      <c r="D203" s="2" t="s">
        <v>9</v>
      </c>
      <c r="E203" s="2">
        <v>41</v>
      </c>
      <c r="F203" s="4">
        <v>1.4508196721311475</v>
      </c>
      <c r="G203" s="4">
        <v>1.7699999999999998</v>
      </c>
      <c r="H203" s="4">
        <v>72.569999999999993</v>
      </c>
      <c r="I203" s="5">
        <f t="shared" si="3"/>
        <v>0.21999999999999992</v>
      </c>
    </row>
    <row r="204" spans="1:9" x14ac:dyDescent="0.3">
      <c r="A204" s="3">
        <v>44437</v>
      </c>
      <c r="B204" s="2" t="s">
        <v>7</v>
      </c>
      <c r="C204" s="2" t="s">
        <v>8</v>
      </c>
      <c r="D204" s="2" t="s">
        <v>13</v>
      </c>
      <c r="E204" s="2">
        <v>136</v>
      </c>
      <c r="F204" s="4">
        <v>1.8793103448275865</v>
      </c>
      <c r="G204" s="4">
        <v>2.1800000000000002</v>
      </c>
      <c r="H204" s="4">
        <v>296.48</v>
      </c>
      <c r="I204" s="5">
        <f t="shared" si="3"/>
        <v>0.15999999999999989</v>
      </c>
    </row>
    <row r="205" spans="1:9" x14ac:dyDescent="0.3">
      <c r="A205" s="3">
        <v>44440</v>
      </c>
      <c r="B205" s="2" t="s">
        <v>7</v>
      </c>
      <c r="C205" s="2" t="s">
        <v>8</v>
      </c>
      <c r="D205" s="2" t="s">
        <v>9</v>
      </c>
      <c r="E205" s="2">
        <v>25</v>
      </c>
      <c r="F205" s="4">
        <v>1.6698113207547169</v>
      </c>
      <c r="G205" s="4">
        <v>1.77</v>
      </c>
      <c r="H205" s="4">
        <v>44.25</v>
      </c>
      <c r="I205" s="5">
        <f t="shared" si="3"/>
        <v>6.0000000000000032E-2</v>
      </c>
    </row>
    <row r="206" spans="1:9" x14ac:dyDescent="0.3">
      <c r="A206" s="3">
        <v>44443</v>
      </c>
      <c r="B206" s="2" t="s">
        <v>7</v>
      </c>
      <c r="C206" s="2" t="s">
        <v>8</v>
      </c>
      <c r="D206" s="2" t="s">
        <v>15</v>
      </c>
      <c r="E206" s="2">
        <v>26</v>
      </c>
      <c r="F206" s="4">
        <v>3</v>
      </c>
      <c r="G206" s="4">
        <v>3.1500000000000004</v>
      </c>
      <c r="H206" s="4">
        <v>81.900000000000006</v>
      </c>
      <c r="I206" s="5">
        <f t="shared" si="3"/>
        <v>5.0000000000000121E-2</v>
      </c>
    </row>
    <row r="207" spans="1:9" x14ac:dyDescent="0.3">
      <c r="A207" s="3">
        <v>44446</v>
      </c>
      <c r="B207" s="2" t="s">
        <v>11</v>
      </c>
      <c r="C207" s="2" t="s">
        <v>12</v>
      </c>
      <c r="D207" s="2" t="s">
        <v>9</v>
      </c>
      <c r="E207" s="2">
        <v>50</v>
      </c>
      <c r="F207" s="4">
        <v>1.5847457627118646</v>
      </c>
      <c r="G207" s="4">
        <v>1.87</v>
      </c>
      <c r="H207" s="4">
        <v>93.5</v>
      </c>
      <c r="I207" s="5">
        <f t="shared" si="3"/>
        <v>0.17999999999999991</v>
      </c>
    </row>
    <row r="208" spans="1:9" x14ac:dyDescent="0.3">
      <c r="A208" s="3">
        <v>44449</v>
      </c>
      <c r="B208" s="2" t="s">
        <v>11</v>
      </c>
      <c r="C208" s="2" t="s">
        <v>12</v>
      </c>
      <c r="D208" s="2" t="s">
        <v>13</v>
      </c>
      <c r="E208" s="2">
        <v>79</v>
      </c>
      <c r="F208" s="4">
        <v>2.3666666666666671</v>
      </c>
      <c r="G208" s="4">
        <v>2.8400000000000003</v>
      </c>
      <c r="H208" s="4">
        <v>224.36</v>
      </c>
      <c r="I208" s="5">
        <f t="shared" si="3"/>
        <v>0.1999999999999999</v>
      </c>
    </row>
    <row r="209" spans="1:9" x14ac:dyDescent="0.3">
      <c r="A209" s="3">
        <v>44452</v>
      </c>
      <c r="B209" s="2" t="s">
        <v>7</v>
      </c>
      <c r="C209" s="2" t="s">
        <v>14</v>
      </c>
      <c r="D209" s="2" t="s">
        <v>9</v>
      </c>
      <c r="E209" s="2">
        <v>30</v>
      </c>
      <c r="F209" s="4">
        <v>1.5663716814159294</v>
      </c>
      <c r="G209" s="4">
        <v>1.77</v>
      </c>
      <c r="H209" s="4">
        <v>53.1</v>
      </c>
      <c r="I209" s="5">
        <f t="shared" si="3"/>
        <v>0.12999999999999987</v>
      </c>
    </row>
    <row r="210" spans="1:9" x14ac:dyDescent="0.3">
      <c r="A210" s="3">
        <v>44455</v>
      </c>
      <c r="B210" s="2" t="s">
        <v>7</v>
      </c>
      <c r="C210" s="2" t="s">
        <v>14</v>
      </c>
      <c r="D210" s="2" t="s">
        <v>15</v>
      </c>
      <c r="E210" s="2">
        <v>20</v>
      </c>
      <c r="F210" s="4">
        <v>1.6470588235294119</v>
      </c>
      <c r="G210" s="4">
        <v>1.6800000000000002</v>
      </c>
      <c r="H210" s="4">
        <v>33.6</v>
      </c>
      <c r="I210" s="5">
        <f t="shared" si="3"/>
        <v>2.0000000000000007E-2</v>
      </c>
    </row>
    <row r="211" spans="1:9" x14ac:dyDescent="0.3">
      <c r="A211" s="3">
        <v>44458</v>
      </c>
      <c r="B211" s="2" t="s">
        <v>11</v>
      </c>
      <c r="C211" s="2" t="s">
        <v>16</v>
      </c>
      <c r="D211" s="2" t="s">
        <v>9</v>
      </c>
      <c r="E211" s="2">
        <v>49</v>
      </c>
      <c r="F211" s="4">
        <v>1.4873949579831933</v>
      </c>
      <c r="G211" s="4">
        <v>1.77</v>
      </c>
      <c r="H211" s="4">
        <v>86.73</v>
      </c>
      <c r="I211" s="5">
        <f t="shared" si="3"/>
        <v>0.18999999999999997</v>
      </c>
    </row>
    <row r="212" spans="1:9" x14ac:dyDescent="0.3">
      <c r="A212" s="3">
        <v>44461</v>
      </c>
      <c r="B212" s="2" t="s">
        <v>7</v>
      </c>
      <c r="C212" s="2" t="s">
        <v>8</v>
      </c>
      <c r="D212" s="2" t="s">
        <v>13</v>
      </c>
      <c r="E212" s="2">
        <v>40</v>
      </c>
      <c r="F212" s="4">
        <v>2</v>
      </c>
      <c r="G212" s="4">
        <v>2.1800000000000002</v>
      </c>
      <c r="H212" s="4">
        <v>87.2</v>
      </c>
      <c r="I212" s="5">
        <f t="shared" si="3"/>
        <v>9.000000000000008E-2</v>
      </c>
    </row>
    <row r="213" spans="1:9" x14ac:dyDescent="0.3">
      <c r="A213" s="3">
        <v>44464</v>
      </c>
      <c r="B213" s="2" t="s">
        <v>7</v>
      </c>
      <c r="C213" s="2" t="s">
        <v>8</v>
      </c>
      <c r="D213" s="2" t="s">
        <v>9</v>
      </c>
      <c r="E213" s="2">
        <v>31</v>
      </c>
      <c r="F213" s="4">
        <v>1.4628099173553719</v>
      </c>
      <c r="G213" s="4">
        <v>1.77</v>
      </c>
      <c r="H213" s="4">
        <v>54.87</v>
      </c>
      <c r="I213" s="5">
        <f t="shared" si="3"/>
        <v>0.21</v>
      </c>
    </row>
    <row r="214" spans="1:9" x14ac:dyDescent="0.3">
      <c r="A214" s="3">
        <v>44467</v>
      </c>
      <c r="B214" s="2" t="s">
        <v>7</v>
      </c>
      <c r="C214" s="2" t="s">
        <v>8</v>
      </c>
      <c r="D214" s="2" t="s">
        <v>15</v>
      </c>
      <c r="E214" s="2">
        <v>21</v>
      </c>
      <c r="F214" s="4">
        <v>3.0582524271844664</v>
      </c>
      <c r="G214" s="4">
        <v>3.1500000000000004</v>
      </c>
      <c r="H214" s="4">
        <v>66.150000000000006</v>
      </c>
      <c r="I214" s="5">
        <f t="shared" si="3"/>
        <v>2.9999999999999975E-2</v>
      </c>
    </row>
    <row r="215" spans="1:9" x14ac:dyDescent="0.3">
      <c r="A215" s="3">
        <v>44470</v>
      </c>
      <c r="B215" s="2" t="s">
        <v>11</v>
      </c>
      <c r="C215" s="2" t="s">
        <v>12</v>
      </c>
      <c r="D215" s="2" t="s">
        <v>9</v>
      </c>
      <c r="E215" s="2">
        <v>43</v>
      </c>
      <c r="F215" s="4">
        <v>1.6120689655172413</v>
      </c>
      <c r="G215" s="4">
        <v>1.8699999999999999</v>
      </c>
      <c r="H215" s="4">
        <v>80.41</v>
      </c>
      <c r="I215" s="5">
        <f t="shared" si="3"/>
        <v>0.15999999999999998</v>
      </c>
    </row>
    <row r="216" spans="1:9" x14ac:dyDescent="0.3">
      <c r="A216" s="3">
        <v>44473</v>
      </c>
      <c r="B216" s="2" t="s">
        <v>11</v>
      </c>
      <c r="C216" s="2" t="s">
        <v>12</v>
      </c>
      <c r="D216" s="2" t="s">
        <v>13</v>
      </c>
      <c r="E216" s="2">
        <v>47</v>
      </c>
      <c r="F216" s="4">
        <v>2.3278688524590163</v>
      </c>
      <c r="G216" s="4">
        <v>2.84</v>
      </c>
      <c r="H216" s="4">
        <v>133.47999999999999</v>
      </c>
      <c r="I216" s="5">
        <f t="shared" si="3"/>
        <v>0.21999999999999997</v>
      </c>
    </row>
    <row r="217" spans="1:9" x14ac:dyDescent="0.3">
      <c r="A217" s="3">
        <v>44476</v>
      </c>
      <c r="B217" s="2" t="s">
        <v>7</v>
      </c>
      <c r="C217" s="2" t="s">
        <v>14</v>
      </c>
      <c r="D217" s="2" t="s">
        <v>13</v>
      </c>
      <c r="E217" s="2">
        <v>175</v>
      </c>
      <c r="F217" s="4">
        <v>2.0185185185185186</v>
      </c>
      <c r="G217" s="4">
        <v>2.1800000000000002</v>
      </c>
      <c r="H217" s="4">
        <v>381.5</v>
      </c>
      <c r="I217" s="5">
        <f t="shared" si="3"/>
        <v>8.0000000000000029E-2</v>
      </c>
    </row>
    <row r="218" spans="1:9" x14ac:dyDescent="0.3">
      <c r="A218" s="3">
        <v>44479</v>
      </c>
      <c r="B218" s="2" t="s">
        <v>7</v>
      </c>
      <c r="C218" s="2" t="s">
        <v>14</v>
      </c>
      <c r="D218" s="2" t="s">
        <v>13</v>
      </c>
      <c r="E218" s="2">
        <v>23</v>
      </c>
      <c r="F218" s="4">
        <v>1.5714285714285714</v>
      </c>
      <c r="G218" s="4">
        <v>1.8699999999999999</v>
      </c>
      <c r="H218" s="4">
        <v>43.01</v>
      </c>
      <c r="I218" s="5">
        <f t="shared" si="3"/>
        <v>0.18999999999999995</v>
      </c>
    </row>
    <row r="219" spans="1:9" x14ac:dyDescent="0.3">
      <c r="A219" s="3">
        <v>44482</v>
      </c>
      <c r="B219" s="2" t="s">
        <v>11</v>
      </c>
      <c r="C219" s="2" t="s">
        <v>16</v>
      </c>
      <c r="D219" s="2" t="s">
        <v>9</v>
      </c>
      <c r="E219" s="2">
        <v>40</v>
      </c>
      <c r="F219" s="4">
        <v>1.6388888888888888</v>
      </c>
      <c r="G219" s="4">
        <v>1.77</v>
      </c>
      <c r="H219" s="4">
        <v>70.8</v>
      </c>
      <c r="I219" s="5">
        <f t="shared" si="3"/>
        <v>8.0000000000000043E-2</v>
      </c>
    </row>
    <row r="220" spans="1:9" x14ac:dyDescent="0.3">
      <c r="A220" s="3">
        <v>44485</v>
      </c>
      <c r="B220" s="2" t="s">
        <v>7</v>
      </c>
      <c r="C220" s="2" t="s">
        <v>8</v>
      </c>
      <c r="D220" s="2" t="s">
        <v>13</v>
      </c>
      <c r="E220" s="2">
        <v>87</v>
      </c>
      <c r="F220" s="4">
        <v>1.9639639639639639</v>
      </c>
      <c r="G220" s="4">
        <v>2.1800000000000002</v>
      </c>
      <c r="H220" s="4">
        <v>189.66000000000003</v>
      </c>
      <c r="I220" s="5">
        <f t="shared" si="3"/>
        <v>0.11000000000000013</v>
      </c>
    </row>
    <row r="221" spans="1:9" x14ac:dyDescent="0.3">
      <c r="A221" s="3">
        <v>44488</v>
      </c>
      <c r="B221" s="2" t="s">
        <v>7</v>
      </c>
      <c r="C221" s="2" t="s">
        <v>8</v>
      </c>
      <c r="D221" s="2" t="s">
        <v>9</v>
      </c>
      <c r="E221" s="2">
        <v>43</v>
      </c>
      <c r="F221" s="4">
        <v>1.7019230769230769</v>
      </c>
      <c r="G221" s="4">
        <v>1.77</v>
      </c>
      <c r="H221" s="4">
        <v>76.11</v>
      </c>
      <c r="I221" s="5">
        <f t="shared" si="3"/>
        <v>4.0000000000000042E-2</v>
      </c>
    </row>
    <row r="222" spans="1:9" x14ac:dyDescent="0.3">
      <c r="A222" s="3">
        <v>44491</v>
      </c>
      <c r="B222" s="2" t="s">
        <v>7</v>
      </c>
      <c r="C222" s="2" t="s">
        <v>8</v>
      </c>
      <c r="D222" s="2" t="s">
        <v>10</v>
      </c>
      <c r="E222" s="2">
        <v>30</v>
      </c>
      <c r="F222" s="4">
        <v>2.9829059829059834</v>
      </c>
      <c r="G222" s="4">
        <v>3.49</v>
      </c>
      <c r="H222" s="4">
        <v>104.7</v>
      </c>
      <c r="I222" s="5">
        <f t="shared" si="3"/>
        <v>0.16999999999999987</v>
      </c>
    </row>
    <row r="223" spans="1:9" x14ac:dyDescent="0.3">
      <c r="A223" s="3">
        <v>44494</v>
      </c>
      <c r="B223" s="2" t="s">
        <v>11</v>
      </c>
      <c r="C223" s="2" t="s">
        <v>12</v>
      </c>
      <c r="D223" s="2" t="s">
        <v>9</v>
      </c>
      <c r="E223" s="2">
        <v>35</v>
      </c>
      <c r="F223" s="4">
        <v>1.5391304347826089</v>
      </c>
      <c r="G223" s="4">
        <v>1.77</v>
      </c>
      <c r="H223" s="4">
        <v>61.95</v>
      </c>
      <c r="I223" s="5">
        <f t="shared" si="3"/>
        <v>0.14999999999999986</v>
      </c>
    </row>
    <row r="224" spans="1:9" x14ac:dyDescent="0.3">
      <c r="A224" s="3">
        <v>44497</v>
      </c>
      <c r="B224" s="2" t="s">
        <v>7</v>
      </c>
      <c r="C224" s="2" t="s">
        <v>14</v>
      </c>
      <c r="D224" s="2" t="s">
        <v>9</v>
      </c>
      <c r="E224" s="2">
        <v>57</v>
      </c>
      <c r="F224" s="4">
        <v>1.7314814814814814</v>
      </c>
      <c r="G224" s="4">
        <v>1.87</v>
      </c>
      <c r="H224" s="4">
        <v>106.59</v>
      </c>
      <c r="I224" s="5">
        <f t="shared" si="3"/>
        <v>8.0000000000000113E-2</v>
      </c>
    </row>
    <row r="225" spans="1:9" x14ac:dyDescent="0.3">
      <c r="A225" s="3">
        <v>44500</v>
      </c>
      <c r="B225" s="2" t="s">
        <v>7</v>
      </c>
      <c r="C225" s="2" t="s">
        <v>14</v>
      </c>
      <c r="D225" s="2" t="s">
        <v>15</v>
      </c>
      <c r="E225" s="2">
        <v>25</v>
      </c>
      <c r="F225" s="4">
        <v>1.4608695652173913</v>
      </c>
      <c r="G225" s="4">
        <v>1.68</v>
      </c>
      <c r="H225" s="4">
        <v>42</v>
      </c>
      <c r="I225" s="5">
        <f t="shared" si="3"/>
        <v>0.14999999999999997</v>
      </c>
    </row>
    <row r="226" spans="1:9" x14ac:dyDescent="0.3">
      <c r="A226" s="3">
        <v>44503</v>
      </c>
      <c r="B226" s="2" t="s">
        <v>11</v>
      </c>
      <c r="C226" s="2" t="s">
        <v>16</v>
      </c>
      <c r="D226" s="2" t="s">
        <v>13</v>
      </c>
      <c r="E226" s="2">
        <v>24</v>
      </c>
      <c r="F226" s="4">
        <v>1.669642857142857</v>
      </c>
      <c r="G226" s="4">
        <v>1.87</v>
      </c>
      <c r="H226" s="4">
        <v>44.88</v>
      </c>
      <c r="I226" s="5">
        <f t="shared" si="3"/>
        <v>0.12000000000000018</v>
      </c>
    </row>
    <row r="227" spans="1:9" x14ac:dyDescent="0.3">
      <c r="A227" s="3">
        <v>44506</v>
      </c>
      <c r="B227" s="2" t="s">
        <v>7</v>
      </c>
      <c r="C227" s="2" t="s">
        <v>8</v>
      </c>
      <c r="D227" s="2" t="s">
        <v>9</v>
      </c>
      <c r="E227" s="2">
        <v>83</v>
      </c>
      <c r="F227" s="4">
        <v>1.8333333333333335</v>
      </c>
      <c r="G227" s="4">
        <v>1.87</v>
      </c>
      <c r="H227" s="4">
        <v>155.21</v>
      </c>
      <c r="I227" s="5">
        <f t="shared" si="3"/>
        <v>1.9999999999999976E-2</v>
      </c>
    </row>
    <row r="228" spans="1:9" x14ac:dyDescent="0.3">
      <c r="A228" s="3">
        <v>44509</v>
      </c>
      <c r="B228" s="2" t="s">
        <v>7</v>
      </c>
      <c r="C228" s="2" t="s">
        <v>8</v>
      </c>
      <c r="D228" s="2" t="s">
        <v>13</v>
      </c>
      <c r="E228" s="2">
        <v>124</v>
      </c>
      <c r="F228" s="4">
        <v>2.6542056074766358</v>
      </c>
      <c r="G228" s="4">
        <v>2.8400000000000003</v>
      </c>
      <c r="H228" s="4">
        <v>352.16</v>
      </c>
      <c r="I228" s="5">
        <f t="shared" si="3"/>
        <v>6.9999999999999993E-2</v>
      </c>
    </row>
    <row r="229" spans="1:9" x14ac:dyDescent="0.3">
      <c r="A229" s="3">
        <v>44512</v>
      </c>
      <c r="B229" s="2" t="s">
        <v>11</v>
      </c>
      <c r="C229" s="2" t="s">
        <v>12</v>
      </c>
      <c r="D229" s="2" t="s">
        <v>9</v>
      </c>
      <c r="E229" s="2">
        <v>137</v>
      </c>
      <c r="F229" s="4">
        <v>1.7019230769230769</v>
      </c>
      <c r="G229" s="4">
        <v>1.77</v>
      </c>
      <c r="H229" s="4">
        <v>242.49</v>
      </c>
      <c r="I229" s="5">
        <f t="shared" si="3"/>
        <v>4.0000000000000042E-2</v>
      </c>
    </row>
    <row r="230" spans="1:9" x14ac:dyDescent="0.3">
      <c r="A230" s="3">
        <v>44515</v>
      </c>
      <c r="B230" s="2" t="s">
        <v>7</v>
      </c>
      <c r="C230" s="2" t="s">
        <v>14</v>
      </c>
      <c r="D230" s="2" t="s">
        <v>13</v>
      </c>
      <c r="E230" s="2">
        <v>146</v>
      </c>
      <c r="F230" s="4">
        <v>1.8632478632478631</v>
      </c>
      <c r="G230" s="4">
        <v>2.1799999999999997</v>
      </c>
      <c r="H230" s="4">
        <v>318.27999999999997</v>
      </c>
      <c r="I230" s="5">
        <f t="shared" si="3"/>
        <v>0.16999999999999996</v>
      </c>
    </row>
    <row r="231" spans="1:9" x14ac:dyDescent="0.3">
      <c r="A231" s="3">
        <v>44518</v>
      </c>
      <c r="B231" s="2" t="s">
        <v>7</v>
      </c>
      <c r="C231" s="2" t="s">
        <v>14</v>
      </c>
      <c r="D231" s="2" t="s">
        <v>13</v>
      </c>
      <c r="E231" s="2">
        <v>34</v>
      </c>
      <c r="F231" s="4">
        <v>1.7641509433962261</v>
      </c>
      <c r="G231" s="4">
        <v>1.8699999999999999</v>
      </c>
      <c r="H231" s="4">
        <v>63.58</v>
      </c>
      <c r="I231" s="5">
        <f t="shared" si="3"/>
        <v>6.0000000000000102E-2</v>
      </c>
    </row>
    <row r="232" spans="1:9" x14ac:dyDescent="0.3">
      <c r="A232" s="3">
        <v>44521</v>
      </c>
      <c r="B232" s="2" t="s">
        <v>11</v>
      </c>
      <c r="C232" s="2" t="s">
        <v>16</v>
      </c>
      <c r="D232" s="2" t="s">
        <v>9</v>
      </c>
      <c r="E232" s="2">
        <v>20</v>
      </c>
      <c r="F232" s="4">
        <v>1.6090909090909089</v>
      </c>
      <c r="G232" s="4">
        <v>1.77</v>
      </c>
      <c r="H232" s="4">
        <v>35.4</v>
      </c>
      <c r="I232" s="5">
        <f t="shared" si="3"/>
        <v>0.10000000000000014</v>
      </c>
    </row>
    <row r="233" spans="1:9" x14ac:dyDescent="0.3">
      <c r="A233" s="3">
        <v>44524</v>
      </c>
      <c r="B233" s="2" t="s">
        <v>7</v>
      </c>
      <c r="C233" s="2" t="s">
        <v>8</v>
      </c>
      <c r="D233" s="2" t="s">
        <v>13</v>
      </c>
      <c r="E233" s="2">
        <v>139</v>
      </c>
      <c r="F233" s="4">
        <v>1.8632478632478631</v>
      </c>
      <c r="G233" s="4">
        <v>2.1799999999999997</v>
      </c>
      <c r="H233" s="4">
        <v>303.02</v>
      </c>
      <c r="I233" s="5">
        <f t="shared" si="3"/>
        <v>0.16999999999999996</v>
      </c>
    </row>
    <row r="234" spans="1:9" x14ac:dyDescent="0.3">
      <c r="A234" s="3">
        <v>44527</v>
      </c>
      <c r="B234" s="2" t="s">
        <v>7</v>
      </c>
      <c r="C234" s="2" t="s">
        <v>8</v>
      </c>
      <c r="D234" s="2" t="s">
        <v>13</v>
      </c>
      <c r="E234" s="2">
        <v>211</v>
      </c>
      <c r="F234" s="4">
        <v>1.5714285714285714</v>
      </c>
      <c r="G234" s="4">
        <v>1.8699999999999999</v>
      </c>
      <c r="H234" s="4">
        <v>394.57</v>
      </c>
      <c r="I234" s="5">
        <f t="shared" si="3"/>
        <v>0.18999999999999995</v>
      </c>
    </row>
    <row r="235" spans="1:9" x14ac:dyDescent="0.3">
      <c r="A235" s="3">
        <v>44530</v>
      </c>
      <c r="B235" s="2" t="s">
        <v>7</v>
      </c>
      <c r="C235" s="2" t="s">
        <v>8</v>
      </c>
      <c r="D235" s="2" t="s">
        <v>10</v>
      </c>
      <c r="E235" s="2">
        <v>20</v>
      </c>
      <c r="F235" s="4">
        <v>2.860655737704918</v>
      </c>
      <c r="G235" s="4">
        <v>3.4899999999999998</v>
      </c>
      <c r="H235" s="4">
        <v>69.8</v>
      </c>
      <c r="I235" s="5">
        <f t="shared" si="3"/>
        <v>0.21999999999999995</v>
      </c>
    </row>
    <row r="236" spans="1:9" x14ac:dyDescent="0.3">
      <c r="A236" s="3">
        <v>44533</v>
      </c>
      <c r="B236" s="2" t="s">
        <v>11</v>
      </c>
      <c r="C236" s="2" t="s">
        <v>12</v>
      </c>
      <c r="D236" s="2" t="s">
        <v>9</v>
      </c>
      <c r="E236" s="2">
        <v>42</v>
      </c>
      <c r="F236" s="4">
        <v>1.7809523809523811</v>
      </c>
      <c r="G236" s="4">
        <v>1.87</v>
      </c>
      <c r="H236" s="4">
        <v>78.540000000000006</v>
      </c>
      <c r="I236" s="5">
        <f t="shared" si="3"/>
        <v>4.9999999999999996E-2</v>
      </c>
    </row>
    <row r="237" spans="1:9" x14ac:dyDescent="0.3">
      <c r="A237" s="3">
        <v>44536</v>
      </c>
      <c r="B237" s="2" t="s">
        <v>11</v>
      </c>
      <c r="C237" s="2" t="s">
        <v>12</v>
      </c>
      <c r="D237" s="2" t="s">
        <v>13</v>
      </c>
      <c r="E237" s="2">
        <v>100</v>
      </c>
      <c r="F237" s="4">
        <v>2.4912280701754383</v>
      </c>
      <c r="G237" s="4">
        <v>2.84</v>
      </c>
      <c r="H237" s="4">
        <v>284</v>
      </c>
      <c r="I237" s="5">
        <f t="shared" si="3"/>
        <v>0.14000000000000007</v>
      </c>
    </row>
    <row r="238" spans="1:9" x14ac:dyDescent="0.3">
      <c r="A238" s="3">
        <v>44539</v>
      </c>
      <c r="B238" s="2" t="s">
        <v>7</v>
      </c>
      <c r="C238" s="2" t="s">
        <v>14</v>
      </c>
      <c r="D238" s="2" t="s">
        <v>9</v>
      </c>
      <c r="E238" s="2">
        <v>38</v>
      </c>
      <c r="F238" s="4">
        <v>1.4873949579831935</v>
      </c>
      <c r="G238" s="4">
        <v>1.7700000000000002</v>
      </c>
      <c r="H238" s="4">
        <v>67.260000000000005</v>
      </c>
      <c r="I238" s="5">
        <f t="shared" si="3"/>
        <v>0.18999999999999995</v>
      </c>
    </row>
    <row r="239" spans="1:9" x14ac:dyDescent="0.3">
      <c r="A239" s="3">
        <v>44542</v>
      </c>
      <c r="B239" s="2" t="s">
        <v>7</v>
      </c>
      <c r="C239" s="2" t="s">
        <v>14</v>
      </c>
      <c r="D239" s="2" t="s">
        <v>10</v>
      </c>
      <c r="E239" s="2">
        <v>25</v>
      </c>
      <c r="F239" s="4">
        <v>3.3883495145631071</v>
      </c>
      <c r="G239" s="4">
        <v>3.49</v>
      </c>
      <c r="H239" s="4">
        <v>87.25</v>
      </c>
      <c r="I239" s="5">
        <f t="shared" si="3"/>
        <v>2.9999999999999982E-2</v>
      </c>
    </row>
    <row r="240" spans="1:9" x14ac:dyDescent="0.3">
      <c r="A240" s="3">
        <v>44545</v>
      </c>
      <c r="B240" s="2" t="s">
        <v>11</v>
      </c>
      <c r="C240" s="2" t="s">
        <v>16</v>
      </c>
      <c r="D240" s="2" t="s">
        <v>13</v>
      </c>
      <c r="E240" s="2">
        <v>96</v>
      </c>
      <c r="F240" s="4">
        <v>1.7809523809523811</v>
      </c>
      <c r="G240" s="4">
        <v>1.87</v>
      </c>
      <c r="H240" s="4">
        <v>179.52</v>
      </c>
      <c r="I240" s="5">
        <f t="shared" si="3"/>
        <v>4.9999999999999996E-2</v>
      </c>
    </row>
    <row r="241" spans="1:9" x14ac:dyDescent="0.3">
      <c r="A241" s="3">
        <v>44548</v>
      </c>
      <c r="B241" s="2" t="s">
        <v>7</v>
      </c>
      <c r="C241" s="2" t="s">
        <v>8</v>
      </c>
      <c r="D241" s="2" t="s">
        <v>13</v>
      </c>
      <c r="E241" s="2">
        <v>34</v>
      </c>
      <c r="F241" s="4">
        <v>1.9818181818181817</v>
      </c>
      <c r="G241" s="4">
        <v>2.1800000000000002</v>
      </c>
      <c r="H241" s="4">
        <v>74.12</v>
      </c>
      <c r="I241" s="5">
        <f t="shared" si="3"/>
        <v>0.10000000000000014</v>
      </c>
    </row>
    <row r="242" spans="1:9" x14ac:dyDescent="0.3">
      <c r="A242" s="3">
        <v>44551</v>
      </c>
      <c r="B242" s="2" t="s">
        <v>7</v>
      </c>
      <c r="C242" s="2" t="s">
        <v>8</v>
      </c>
      <c r="D242" s="2" t="s">
        <v>13</v>
      </c>
      <c r="E242" s="2">
        <v>245</v>
      </c>
      <c r="F242" s="4">
        <v>1.8155339805825241</v>
      </c>
      <c r="G242" s="4">
        <v>1.8699999999999999</v>
      </c>
      <c r="H242" s="4">
        <v>458.15</v>
      </c>
      <c r="I242" s="5">
        <f t="shared" si="3"/>
        <v>3.0000000000000016E-2</v>
      </c>
    </row>
    <row r="243" spans="1:9" x14ac:dyDescent="0.3">
      <c r="A243" s="3">
        <v>44554</v>
      </c>
      <c r="B243" s="2" t="s">
        <v>7</v>
      </c>
      <c r="C243" s="2" t="s">
        <v>8</v>
      </c>
      <c r="D243" s="2" t="s">
        <v>10</v>
      </c>
      <c r="E243" s="2">
        <v>30</v>
      </c>
      <c r="F243" s="4">
        <v>2.8842975206611574</v>
      </c>
      <c r="G243" s="4">
        <v>3.49</v>
      </c>
      <c r="H243" s="4">
        <v>104.7</v>
      </c>
      <c r="I243" s="5">
        <f t="shared" si="3"/>
        <v>0.20999999999999991</v>
      </c>
    </row>
    <row r="244" spans="1:9" x14ac:dyDescent="0.3">
      <c r="A244" s="3">
        <v>44557</v>
      </c>
      <c r="B244" s="2" t="s">
        <v>11</v>
      </c>
      <c r="C244" s="2" t="s">
        <v>12</v>
      </c>
      <c r="D244" s="2" t="s">
        <v>9</v>
      </c>
      <c r="E244" s="2">
        <v>30</v>
      </c>
      <c r="F244" s="4">
        <v>1.7641509433962264</v>
      </c>
      <c r="G244" s="4">
        <v>1.87</v>
      </c>
      <c r="H244" s="4">
        <v>56.1</v>
      </c>
      <c r="I244" s="5">
        <f t="shared" si="3"/>
        <v>6.0000000000000095E-2</v>
      </c>
    </row>
    <row r="245" spans="1:9" x14ac:dyDescent="0.3">
      <c r="A245" s="3">
        <v>44560</v>
      </c>
      <c r="B245" s="2" t="s">
        <v>11</v>
      </c>
      <c r="C245" s="2" t="s">
        <v>12</v>
      </c>
      <c r="D245" s="2" t="s">
        <v>13</v>
      </c>
      <c r="E245" s="2">
        <v>44</v>
      </c>
      <c r="F245" s="4">
        <v>2.7307692307692304</v>
      </c>
      <c r="G245" s="4">
        <v>2.84</v>
      </c>
      <c r="H245" s="4">
        <v>124.96</v>
      </c>
      <c r="I245" s="5">
        <f t="shared" si="3"/>
        <v>4.0000000000000091E-2</v>
      </c>
    </row>
  </sheetData>
  <autoFilter ref="A1:I245" xr:uid="{4EB3885D-73DE-C747-B40C-15AACEAB25B7}"/>
  <conditionalFormatting sqref="F1:F1048576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:G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I1048576">
    <cfRule type="iconSet" priority="1">
      <iconSet iconSet="3Arrows">
        <cfvo type="percent" val="0"/>
        <cfvo type="num" val="0"/>
        <cfvo type="num" val="0.1" gte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73FF-D087-2E4A-BC9B-8F46A94BFA31}">
  <dimension ref="B2:T315"/>
  <sheetViews>
    <sheetView showGridLines="0" topLeftCell="K1" zoomScale="115" workbookViewId="0">
      <selection activeCell="AA14" sqref="AA14"/>
    </sheetView>
  </sheetViews>
  <sheetFormatPr defaultColWidth="10.69921875" defaultRowHeight="15.6" x14ac:dyDescent="0.3"/>
  <cols>
    <col min="2" max="2" width="11.69921875" bestFit="1" customWidth="1"/>
    <col min="3" max="3" width="17.296875" bestFit="1" customWidth="1"/>
    <col min="4" max="19" width="16.296875" bestFit="1" customWidth="1"/>
    <col min="20" max="20" width="12.796875" style="19" bestFit="1" customWidth="1"/>
  </cols>
  <sheetData>
    <row r="2" spans="2:20" x14ac:dyDescent="0.3">
      <c r="B2" s="6" t="s">
        <v>19</v>
      </c>
      <c r="C2" s="6" t="s">
        <v>350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16" t="s">
        <v>35</v>
      </c>
      <c r="T2" s="6" t="s">
        <v>36</v>
      </c>
    </row>
    <row r="3" spans="2:20" x14ac:dyDescent="0.3">
      <c r="B3" s="7" t="s">
        <v>37</v>
      </c>
      <c r="C3" s="7" t="s">
        <v>344</v>
      </c>
      <c r="D3" s="7">
        <v>0.38</v>
      </c>
      <c r="E3" s="7">
        <v>0</v>
      </c>
      <c r="F3" s="7">
        <v>0</v>
      </c>
      <c r="G3" s="7">
        <v>0.72</v>
      </c>
      <c r="H3" s="7">
        <v>0.77</v>
      </c>
      <c r="I3" s="7">
        <v>0</v>
      </c>
      <c r="J3" s="7">
        <v>0.85</v>
      </c>
      <c r="K3" s="7">
        <v>0.96</v>
      </c>
      <c r="L3" s="7">
        <v>0.61</v>
      </c>
      <c r="M3" s="7">
        <v>0</v>
      </c>
      <c r="N3" s="7">
        <v>0</v>
      </c>
      <c r="O3" s="7">
        <v>0.24</v>
      </c>
      <c r="P3" s="7">
        <v>0.68</v>
      </c>
      <c r="Q3" s="7">
        <v>0</v>
      </c>
      <c r="R3" s="7">
        <v>0.67</v>
      </c>
      <c r="S3" s="17">
        <v>0.35</v>
      </c>
      <c r="T3" s="18">
        <f>AVERAGE(D3:S3)</f>
        <v>0.38937499999999997</v>
      </c>
    </row>
    <row r="4" spans="2:20" x14ac:dyDescent="0.3">
      <c r="B4" s="7" t="s">
        <v>38</v>
      </c>
      <c r="C4" s="7" t="s">
        <v>348</v>
      </c>
      <c r="D4" s="7">
        <v>0.66</v>
      </c>
      <c r="E4" s="7">
        <v>0.61</v>
      </c>
      <c r="F4" s="7">
        <v>0.35</v>
      </c>
      <c r="G4" s="7">
        <v>0.1</v>
      </c>
      <c r="H4" s="7">
        <v>0.57999999999999996</v>
      </c>
      <c r="I4" s="7">
        <v>0.71</v>
      </c>
      <c r="J4" s="7">
        <v>0.61</v>
      </c>
      <c r="K4" s="7">
        <v>0.04</v>
      </c>
      <c r="L4" s="7">
        <v>0.6</v>
      </c>
      <c r="M4" s="7">
        <v>0.54</v>
      </c>
      <c r="N4" s="7">
        <v>0.61</v>
      </c>
      <c r="O4" s="7">
        <v>0.42</v>
      </c>
      <c r="P4" s="7">
        <v>0.26</v>
      </c>
      <c r="Q4" s="7">
        <v>0.01</v>
      </c>
      <c r="R4" s="7">
        <v>0</v>
      </c>
      <c r="S4" s="17">
        <v>0.59</v>
      </c>
      <c r="T4" s="18">
        <f t="shared" ref="T4:T67" si="0">AVERAGE(D4:S4)</f>
        <v>0.41812499999999997</v>
      </c>
    </row>
    <row r="5" spans="2:20" x14ac:dyDescent="0.3">
      <c r="B5" s="7" t="s">
        <v>39</v>
      </c>
      <c r="C5" s="7" t="s">
        <v>348</v>
      </c>
      <c r="D5" s="7">
        <v>0.03</v>
      </c>
      <c r="E5" s="7">
        <v>0.53</v>
      </c>
      <c r="F5" s="7">
        <v>0.18</v>
      </c>
      <c r="G5" s="7">
        <v>0</v>
      </c>
      <c r="H5" s="7">
        <v>0.59</v>
      </c>
      <c r="I5" s="7">
        <v>0.97</v>
      </c>
      <c r="J5" s="7">
        <v>0.55000000000000004</v>
      </c>
      <c r="K5" s="7">
        <v>0.32</v>
      </c>
      <c r="L5" s="7">
        <v>0.8</v>
      </c>
      <c r="M5" s="7">
        <v>0.5</v>
      </c>
      <c r="N5" s="7">
        <v>0.28000000000000003</v>
      </c>
      <c r="O5" s="7">
        <v>0</v>
      </c>
      <c r="P5" s="7">
        <v>0.79</v>
      </c>
      <c r="Q5" s="7">
        <v>0.94</v>
      </c>
      <c r="R5" s="7">
        <v>0.96</v>
      </c>
      <c r="S5" s="17">
        <v>0</v>
      </c>
      <c r="T5" s="18">
        <f t="shared" si="0"/>
        <v>0.46500000000000002</v>
      </c>
    </row>
    <row r="6" spans="2:20" x14ac:dyDescent="0.3">
      <c r="B6" s="7" t="s">
        <v>40</v>
      </c>
      <c r="C6" s="7" t="s">
        <v>347</v>
      </c>
      <c r="D6" s="7">
        <v>0.81</v>
      </c>
      <c r="E6" s="7">
        <v>0.28000000000000003</v>
      </c>
      <c r="F6" s="7">
        <v>0.52</v>
      </c>
      <c r="G6" s="7">
        <v>1</v>
      </c>
      <c r="H6" s="7">
        <v>1</v>
      </c>
      <c r="I6" s="7">
        <v>0.12</v>
      </c>
      <c r="J6" s="7">
        <v>0.2</v>
      </c>
      <c r="K6" s="7">
        <v>0.55000000000000004</v>
      </c>
      <c r="L6" s="7">
        <v>0.81</v>
      </c>
      <c r="M6" s="7">
        <v>0.65</v>
      </c>
      <c r="N6" s="7">
        <v>0.78</v>
      </c>
      <c r="O6" s="7">
        <v>0.69</v>
      </c>
      <c r="P6" s="7">
        <v>0</v>
      </c>
      <c r="Q6" s="7">
        <v>0.11</v>
      </c>
      <c r="R6" s="7">
        <v>0.24</v>
      </c>
      <c r="S6" s="17">
        <v>0.68</v>
      </c>
      <c r="T6" s="18">
        <f t="shared" si="0"/>
        <v>0.52750000000000019</v>
      </c>
    </row>
    <row r="7" spans="2:20" x14ac:dyDescent="0.3">
      <c r="B7" s="7" t="s">
        <v>41</v>
      </c>
      <c r="C7" s="7" t="s">
        <v>345</v>
      </c>
      <c r="D7" s="7">
        <v>0.56000000000000005</v>
      </c>
      <c r="E7" s="7">
        <v>0.69</v>
      </c>
      <c r="F7" s="7">
        <v>0.91</v>
      </c>
      <c r="G7" s="7">
        <v>0.59</v>
      </c>
      <c r="H7" s="7">
        <v>0.02</v>
      </c>
      <c r="I7" s="7">
        <v>0.83</v>
      </c>
      <c r="J7" s="7">
        <v>0.18</v>
      </c>
      <c r="K7" s="7">
        <v>0.96</v>
      </c>
      <c r="L7" s="7">
        <v>0.9</v>
      </c>
      <c r="M7" s="7">
        <v>0.09</v>
      </c>
      <c r="N7" s="7">
        <v>0.35</v>
      </c>
      <c r="O7" s="7">
        <v>0.18</v>
      </c>
      <c r="P7" s="7">
        <v>0.97</v>
      </c>
      <c r="Q7" s="7">
        <v>0</v>
      </c>
      <c r="R7" s="7">
        <v>0.43</v>
      </c>
      <c r="S7" s="17">
        <v>0.37</v>
      </c>
      <c r="T7" s="18">
        <f t="shared" si="0"/>
        <v>0.50187499999999996</v>
      </c>
    </row>
    <row r="8" spans="2:20" x14ac:dyDescent="0.3">
      <c r="B8" s="7" t="s">
        <v>42</v>
      </c>
      <c r="C8" s="7" t="s">
        <v>344</v>
      </c>
      <c r="D8" s="7">
        <v>0.5</v>
      </c>
      <c r="E8" s="7">
        <v>0.83</v>
      </c>
      <c r="F8" s="7">
        <v>0.24</v>
      </c>
      <c r="G8" s="7">
        <v>0.3</v>
      </c>
      <c r="H8" s="7">
        <v>0.37</v>
      </c>
      <c r="I8" s="7">
        <v>0.99</v>
      </c>
      <c r="J8" s="7">
        <v>0</v>
      </c>
      <c r="K8" s="7">
        <v>0.2</v>
      </c>
      <c r="L8" s="7">
        <v>0.89</v>
      </c>
      <c r="M8" s="7">
        <v>0.45</v>
      </c>
      <c r="N8" s="7">
        <v>0.53</v>
      </c>
      <c r="O8" s="7">
        <v>0.04</v>
      </c>
      <c r="P8" s="7">
        <v>0.16</v>
      </c>
      <c r="Q8" s="7">
        <v>0</v>
      </c>
      <c r="R8" s="7">
        <v>0.05</v>
      </c>
      <c r="S8" s="17">
        <v>0.74</v>
      </c>
      <c r="T8" s="18">
        <f t="shared" si="0"/>
        <v>0.39312500000000006</v>
      </c>
    </row>
    <row r="9" spans="2:20" x14ac:dyDescent="0.3">
      <c r="B9" s="7" t="s">
        <v>43</v>
      </c>
      <c r="C9" s="7" t="s">
        <v>349</v>
      </c>
      <c r="D9" s="7">
        <v>0</v>
      </c>
      <c r="E9" s="7">
        <v>0</v>
      </c>
      <c r="F9" s="7">
        <v>0.6</v>
      </c>
      <c r="G9" s="7">
        <v>0.69</v>
      </c>
      <c r="H9" s="7">
        <v>0</v>
      </c>
      <c r="I9" s="7">
        <v>0.6</v>
      </c>
      <c r="J9" s="7">
        <v>0.56999999999999995</v>
      </c>
      <c r="K9" s="7">
        <v>0.56000000000000005</v>
      </c>
      <c r="L9" s="7">
        <v>0</v>
      </c>
      <c r="M9" s="7">
        <v>0.7</v>
      </c>
      <c r="N9" s="7">
        <v>0</v>
      </c>
      <c r="O9" s="7">
        <v>0.3</v>
      </c>
      <c r="P9" s="7">
        <v>0.1</v>
      </c>
      <c r="Q9" s="7">
        <v>0.47</v>
      </c>
      <c r="R9" s="7">
        <v>0.83</v>
      </c>
      <c r="S9" s="17">
        <v>0</v>
      </c>
      <c r="T9" s="18">
        <f t="shared" si="0"/>
        <v>0.33874999999999994</v>
      </c>
    </row>
    <row r="10" spans="2:20" x14ac:dyDescent="0.3">
      <c r="B10" s="7" t="s">
        <v>44</v>
      </c>
      <c r="C10" s="7" t="s">
        <v>344</v>
      </c>
      <c r="D10" s="7">
        <v>0.68</v>
      </c>
      <c r="E10" s="7">
        <v>0.83</v>
      </c>
      <c r="F10" s="7">
        <v>0.99</v>
      </c>
      <c r="G10" s="7">
        <v>0.91</v>
      </c>
      <c r="H10" s="7">
        <v>0</v>
      </c>
      <c r="I10" s="7">
        <v>0.41</v>
      </c>
      <c r="J10" s="7">
        <v>0.7</v>
      </c>
      <c r="K10" s="7">
        <v>0</v>
      </c>
      <c r="L10" s="7">
        <v>0.27</v>
      </c>
      <c r="M10" s="7">
        <v>0.75</v>
      </c>
      <c r="N10" s="7">
        <v>0.47</v>
      </c>
      <c r="O10" s="7">
        <v>0.69</v>
      </c>
      <c r="P10" s="7">
        <v>0</v>
      </c>
      <c r="Q10" s="7">
        <v>0.8</v>
      </c>
      <c r="R10" s="7">
        <v>0.73</v>
      </c>
      <c r="S10" s="17">
        <v>0</v>
      </c>
      <c r="T10" s="18">
        <f t="shared" si="0"/>
        <v>0.51437500000000003</v>
      </c>
    </row>
    <row r="11" spans="2:20" x14ac:dyDescent="0.3">
      <c r="B11" s="7" t="s">
        <v>45</v>
      </c>
      <c r="C11" s="7" t="s">
        <v>346</v>
      </c>
      <c r="D11" s="7">
        <v>0.85</v>
      </c>
      <c r="E11" s="7">
        <v>0</v>
      </c>
      <c r="F11" s="7">
        <v>0.46</v>
      </c>
      <c r="G11" s="7">
        <v>0.1</v>
      </c>
      <c r="H11" s="7">
        <v>0.49</v>
      </c>
      <c r="I11" s="7">
        <v>0.73</v>
      </c>
      <c r="J11" s="7">
        <v>0.12</v>
      </c>
      <c r="K11" s="7">
        <v>0</v>
      </c>
      <c r="L11" s="7">
        <v>0.54</v>
      </c>
      <c r="M11" s="7">
        <v>0.75</v>
      </c>
      <c r="N11" s="7">
        <v>0</v>
      </c>
      <c r="O11" s="7">
        <v>0.34</v>
      </c>
      <c r="P11" s="7">
        <v>0.62</v>
      </c>
      <c r="Q11" s="7">
        <v>0.54</v>
      </c>
      <c r="R11" s="7">
        <v>0.38</v>
      </c>
      <c r="S11" s="17">
        <v>0.13</v>
      </c>
      <c r="T11" s="18">
        <f t="shared" si="0"/>
        <v>0.37812499999999999</v>
      </c>
    </row>
    <row r="12" spans="2:20" x14ac:dyDescent="0.3">
      <c r="B12" s="7" t="s">
        <v>46</v>
      </c>
      <c r="C12" s="7" t="s">
        <v>346</v>
      </c>
      <c r="D12" s="7">
        <v>0.28999999999999998</v>
      </c>
      <c r="E12" s="7">
        <v>0.26</v>
      </c>
      <c r="F12" s="7">
        <v>0</v>
      </c>
      <c r="G12" s="7">
        <v>0.81</v>
      </c>
      <c r="H12" s="7">
        <v>0.32</v>
      </c>
      <c r="I12" s="7">
        <v>0.47</v>
      </c>
      <c r="J12" s="7">
        <v>0.52</v>
      </c>
      <c r="K12" s="7">
        <v>0.27</v>
      </c>
      <c r="L12" s="7">
        <v>0.34</v>
      </c>
      <c r="M12" s="7">
        <v>0.24</v>
      </c>
      <c r="N12" s="7">
        <v>0.62</v>
      </c>
      <c r="O12" s="7">
        <v>0.68</v>
      </c>
      <c r="P12" s="7">
        <v>0.46</v>
      </c>
      <c r="Q12" s="7">
        <v>0.44</v>
      </c>
      <c r="R12" s="7">
        <v>0.35</v>
      </c>
      <c r="S12" s="17">
        <v>0.72</v>
      </c>
      <c r="T12" s="18">
        <f t="shared" si="0"/>
        <v>0.424375</v>
      </c>
    </row>
    <row r="13" spans="2:20" x14ac:dyDescent="0.3">
      <c r="B13" s="7" t="s">
        <v>47</v>
      </c>
      <c r="C13" s="7" t="s">
        <v>346</v>
      </c>
      <c r="D13" s="7">
        <v>0</v>
      </c>
      <c r="E13" s="7">
        <v>0.46</v>
      </c>
      <c r="F13" s="7">
        <v>0.63</v>
      </c>
      <c r="G13" s="7">
        <v>0.34</v>
      </c>
      <c r="H13" s="7">
        <v>0.59</v>
      </c>
      <c r="I13" s="7">
        <v>0.39</v>
      </c>
      <c r="J13" s="7">
        <v>0.94</v>
      </c>
      <c r="K13" s="7">
        <v>0</v>
      </c>
      <c r="L13" s="7">
        <v>0.24</v>
      </c>
      <c r="M13" s="7">
        <v>0.83</v>
      </c>
      <c r="N13" s="7">
        <v>0.66</v>
      </c>
      <c r="O13" s="7">
        <v>0.12</v>
      </c>
      <c r="P13" s="7">
        <v>0</v>
      </c>
      <c r="Q13" s="7">
        <v>0.47</v>
      </c>
      <c r="R13" s="7">
        <v>0</v>
      </c>
      <c r="S13" s="17">
        <v>0.47</v>
      </c>
      <c r="T13" s="18">
        <f t="shared" si="0"/>
        <v>0.38374999999999998</v>
      </c>
    </row>
    <row r="14" spans="2:20" x14ac:dyDescent="0.3">
      <c r="B14" s="7" t="s">
        <v>48</v>
      </c>
      <c r="C14" s="7" t="s">
        <v>348</v>
      </c>
      <c r="D14" s="7">
        <v>0</v>
      </c>
      <c r="E14" s="7">
        <v>0.12</v>
      </c>
      <c r="F14" s="7">
        <v>0.4</v>
      </c>
      <c r="G14" s="7">
        <v>0.93</v>
      </c>
      <c r="H14" s="7">
        <v>0.02</v>
      </c>
      <c r="I14" s="7">
        <v>0.88</v>
      </c>
      <c r="J14" s="7">
        <v>0.03</v>
      </c>
      <c r="K14" s="7">
        <v>0</v>
      </c>
      <c r="L14" s="7">
        <v>0.27</v>
      </c>
      <c r="M14" s="7">
        <v>0.72</v>
      </c>
      <c r="N14" s="7">
        <v>0.33</v>
      </c>
      <c r="O14" s="7">
        <v>0.63</v>
      </c>
      <c r="P14" s="7">
        <v>0</v>
      </c>
      <c r="Q14" s="7">
        <v>0.59</v>
      </c>
      <c r="R14" s="7">
        <v>0.73</v>
      </c>
      <c r="S14" s="17">
        <v>0.9</v>
      </c>
      <c r="T14" s="18">
        <f t="shared" si="0"/>
        <v>0.40937500000000004</v>
      </c>
    </row>
    <row r="15" spans="2:20" x14ac:dyDescent="0.3">
      <c r="B15" s="7" t="s">
        <v>49</v>
      </c>
      <c r="C15" s="7" t="s">
        <v>347</v>
      </c>
      <c r="D15" s="7">
        <v>0.38</v>
      </c>
      <c r="E15" s="7">
        <v>0.65</v>
      </c>
      <c r="F15" s="7">
        <v>0.79</v>
      </c>
      <c r="G15" s="7">
        <v>0.79</v>
      </c>
      <c r="H15" s="7">
        <v>0</v>
      </c>
      <c r="I15" s="7">
        <v>0.05</v>
      </c>
      <c r="J15" s="7">
        <v>0.48</v>
      </c>
      <c r="K15" s="7">
        <v>0.91</v>
      </c>
      <c r="L15" s="7">
        <v>0.26</v>
      </c>
      <c r="M15" s="7">
        <v>0.66</v>
      </c>
      <c r="N15" s="7">
        <v>0</v>
      </c>
      <c r="O15" s="7">
        <v>0.98</v>
      </c>
      <c r="P15" s="7">
        <v>0.63</v>
      </c>
      <c r="Q15" s="7">
        <v>0.04</v>
      </c>
      <c r="R15" s="7">
        <v>0.22</v>
      </c>
      <c r="S15" s="17">
        <v>0.14000000000000001</v>
      </c>
      <c r="T15" s="18">
        <f t="shared" si="0"/>
        <v>0.43624999999999992</v>
      </c>
    </row>
    <row r="16" spans="2:20" x14ac:dyDescent="0.3">
      <c r="B16" s="7" t="s">
        <v>50</v>
      </c>
      <c r="C16" s="7" t="s">
        <v>349</v>
      </c>
      <c r="D16" s="7">
        <v>0</v>
      </c>
      <c r="E16" s="7">
        <v>0</v>
      </c>
      <c r="F16" s="7">
        <v>0.96</v>
      </c>
      <c r="G16" s="7">
        <v>0.95</v>
      </c>
      <c r="H16" s="7">
        <v>0.15</v>
      </c>
      <c r="I16" s="7">
        <v>0.47</v>
      </c>
      <c r="J16" s="7">
        <v>0.51</v>
      </c>
      <c r="K16" s="7">
        <v>0.46</v>
      </c>
      <c r="L16" s="7">
        <v>0.22</v>
      </c>
      <c r="M16" s="7">
        <v>0.26</v>
      </c>
      <c r="N16" s="7">
        <v>0</v>
      </c>
      <c r="O16" s="7">
        <v>0.54</v>
      </c>
      <c r="P16" s="7">
        <v>0.94</v>
      </c>
      <c r="Q16" s="7">
        <v>0.64</v>
      </c>
      <c r="R16" s="7">
        <v>0</v>
      </c>
      <c r="S16" s="17">
        <v>0.15</v>
      </c>
      <c r="T16" s="18">
        <f t="shared" si="0"/>
        <v>0.39062500000000006</v>
      </c>
    </row>
    <row r="17" spans="2:20" x14ac:dyDescent="0.3">
      <c r="B17" s="7" t="s">
        <v>51</v>
      </c>
      <c r="C17" s="7" t="s">
        <v>346</v>
      </c>
      <c r="D17" s="7">
        <v>0.06</v>
      </c>
      <c r="E17" s="7">
        <v>0</v>
      </c>
      <c r="F17" s="7">
        <v>0.17</v>
      </c>
      <c r="G17" s="7">
        <v>0.3</v>
      </c>
      <c r="H17" s="7">
        <v>0.78</v>
      </c>
      <c r="I17" s="7">
        <v>0.51</v>
      </c>
      <c r="J17" s="7">
        <v>0.24</v>
      </c>
      <c r="K17" s="7">
        <v>0</v>
      </c>
      <c r="L17" s="7">
        <v>0.83</v>
      </c>
      <c r="M17" s="7">
        <v>0.19</v>
      </c>
      <c r="N17" s="7">
        <v>0.51</v>
      </c>
      <c r="O17" s="7">
        <v>0.63</v>
      </c>
      <c r="P17" s="7">
        <v>0.36</v>
      </c>
      <c r="Q17" s="7">
        <v>0.53</v>
      </c>
      <c r="R17" s="7">
        <v>0</v>
      </c>
      <c r="S17" s="17">
        <v>0.27</v>
      </c>
      <c r="T17" s="18">
        <f t="shared" si="0"/>
        <v>0.33625000000000005</v>
      </c>
    </row>
    <row r="18" spans="2:20" x14ac:dyDescent="0.3">
      <c r="B18" s="7" t="s">
        <v>52</v>
      </c>
      <c r="C18" s="7" t="s">
        <v>347</v>
      </c>
      <c r="D18" s="7">
        <v>0.95</v>
      </c>
      <c r="E18" s="7">
        <v>0.95</v>
      </c>
      <c r="F18" s="7">
        <v>0.41</v>
      </c>
      <c r="G18" s="7">
        <v>0</v>
      </c>
      <c r="H18" s="7">
        <v>0.77</v>
      </c>
      <c r="I18" s="7">
        <v>0.4</v>
      </c>
      <c r="J18" s="7">
        <v>0.75</v>
      </c>
      <c r="K18" s="7">
        <v>0</v>
      </c>
      <c r="L18" s="7">
        <v>0.73</v>
      </c>
      <c r="M18" s="7">
        <v>0.17</v>
      </c>
      <c r="N18" s="7">
        <v>0</v>
      </c>
      <c r="O18" s="7">
        <v>0.69</v>
      </c>
      <c r="P18" s="7">
        <v>0</v>
      </c>
      <c r="Q18" s="7">
        <v>0.63</v>
      </c>
      <c r="R18" s="7">
        <v>0.64</v>
      </c>
      <c r="S18" s="17">
        <v>0.25</v>
      </c>
      <c r="T18" s="18">
        <f t="shared" si="0"/>
        <v>0.45874999999999999</v>
      </c>
    </row>
    <row r="19" spans="2:20" x14ac:dyDescent="0.3">
      <c r="B19" s="7" t="s">
        <v>53</v>
      </c>
      <c r="C19" s="7" t="s">
        <v>347</v>
      </c>
      <c r="D19" s="7">
        <v>0.24</v>
      </c>
      <c r="E19" s="7">
        <v>0.49</v>
      </c>
      <c r="F19" s="7">
        <v>0.31</v>
      </c>
      <c r="G19" s="7">
        <v>0.83</v>
      </c>
      <c r="H19" s="7">
        <v>0.13</v>
      </c>
      <c r="I19" s="7">
        <v>0.7</v>
      </c>
      <c r="J19" s="7">
        <v>0</v>
      </c>
      <c r="K19" s="7">
        <v>0</v>
      </c>
      <c r="L19" s="7">
        <v>0.65</v>
      </c>
      <c r="M19" s="7">
        <v>0.75</v>
      </c>
      <c r="N19" s="7">
        <v>0</v>
      </c>
      <c r="O19" s="7">
        <v>0.1</v>
      </c>
      <c r="P19" s="7">
        <v>0</v>
      </c>
      <c r="Q19" s="7">
        <v>0</v>
      </c>
      <c r="R19" s="7">
        <v>0.6</v>
      </c>
      <c r="S19" s="17">
        <v>0.55000000000000004</v>
      </c>
      <c r="T19" s="18">
        <f t="shared" si="0"/>
        <v>0.33437499999999992</v>
      </c>
    </row>
    <row r="20" spans="2:20" x14ac:dyDescent="0.3">
      <c r="B20" s="7" t="s">
        <v>54</v>
      </c>
      <c r="C20" s="7" t="s">
        <v>345</v>
      </c>
      <c r="D20" s="7">
        <v>0.46</v>
      </c>
      <c r="E20" s="7">
        <v>0</v>
      </c>
      <c r="F20" s="7">
        <v>0</v>
      </c>
      <c r="G20" s="7">
        <v>0.28999999999999998</v>
      </c>
      <c r="H20" s="7">
        <v>0.74</v>
      </c>
      <c r="I20" s="7">
        <v>0.01</v>
      </c>
      <c r="J20" s="7">
        <v>0</v>
      </c>
      <c r="K20" s="7">
        <v>0</v>
      </c>
      <c r="L20" s="7">
        <v>0.97</v>
      </c>
      <c r="M20" s="7">
        <v>0.69</v>
      </c>
      <c r="N20" s="7">
        <v>0.36</v>
      </c>
      <c r="O20" s="7">
        <v>0.26</v>
      </c>
      <c r="P20" s="7">
        <v>7.0000000000000007E-2</v>
      </c>
      <c r="Q20" s="7">
        <v>0.93</v>
      </c>
      <c r="R20" s="7">
        <v>0</v>
      </c>
      <c r="S20" s="17">
        <v>0.49</v>
      </c>
      <c r="T20" s="18">
        <f t="shared" si="0"/>
        <v>0.32937499999999997</v>
      </c>
    </row>
    <row r="21" spans="2:20" x14ac:dyDescent="0.3">
      <c r="B21" s="7" t="s">
        <v>55</v>
      </c>
      <c r="C21" s="7" t="s">
        <v>347</v>
      </c>
      <c r="D21" s="7">
        <v>0.84</v>
      </c>
      <c r="E21" s="7">
        <v>0</v>
      </c>
      <c r="F21" s="7">
        <v>0.61</v>
      </c>
      <c r="G21" s="7">
        <v>0.19</v>
      </c>
      <c r="H21" s="7">
        <v>0.87</v>
      </c>
      <c r="I21" s="7">
        <v>0.03</v>
      </c>
      <c r="J21" s="7">
        <v>0.47</v>
      </c>
      <c r="K21" s="7">
        <v>0.08</v>
      </c>
      <c r="L21" s="7">
        <v>0.97</v>
      </c>
      <c r="M21" s="7">
        <v>0.52</v>
      </c>
      <c r="N21" s="7">
        <v>0</v>
      </c>
      <c r="O21" s="7">
        <v>0</v>
      </c>
      <c r="P21" s="7">
        <v>0</v>
      </c>
      <c r="Q21" s="7">
        <v>0.6</v>
      </c>
      <c r="R21" s="7">
        <v>0</v>
      </c>
      <c r="S21" s="17">
        <v>0</v>
      </c>
      <c r="T21" s="18">
        <f t="shared" si="0"/>
        <v>0.32374999999999998</v>
      </c>
    </row>
    <row r="22" spans="2:20" x14ac:dyDescent="0.3">
      <c r="B22" s="7" t="s">
        <v>56</v>
      </c>
      <c r="C22" s="7" t="s">
        <v>344</v>
      </c>
      <c r="D22" s="7">
        <v>0.71</v>
      </c>
      <c r="E22" s="7">
        <v>0</v>
      </c>
      <c r="F22" s="7">
        <v>1</v>
      </c>
      <c r="G22" s="7">
        <v>0.64</v>
      </c>
      <c r="H22" s="7">
        <v>0.88</v>
      </c>
      <c r="I22" s="7">
        <v>0.31</v>
      </c>
      <c r="J22" s="7">
        <v>0.38</v>
      </c>
      <c r="K22" s="7">
        <v>0.88</v>
      </c>
      <c r="L22" s="7">
        <v>0.04</v>
      </c>
      <c r="M22" s="7">
        <v>0.06</v>
      </c>
      <c r="N22" s="7">
        <v>0.27</v>
      </c>
      <c r="O22" s="7">
        <v>0.79</v>
      </c>
      <c r="P22" s="7">
        <v>0.88</v>
      </c>
      <c r="Q22" s="7">
        <v>0</v>
      </c>
      <c r="R22" s="7">
        <v>0</v>
      </c>
      <c r="S22" s="17">
        <v>7.0000000000000007E-2</v>
      </c>
      <c r="T22" s="18">
        <f t="shared" si="0"/>
        <v>0.43187500000000001</v>
      </c>
    </row>
    <row r="23" spans="2:20" x14ac:dyDescent="0.3">
      <c r="B23" s="7" t="s">
        <v>57</v>
      </c>
      <c r="C23" s="7" t="s">
        <v>347</v>
      </c>
      <c r="D23" s="7">
        <v>0.74</v>
      </c>
      <c r="E23" s="7">
        <v>0.45</v>
      </c>
      <c r="F23" s="7">
        <v>0.4</v>
      </c>
      <c r="G23" s="7">
        <v>0</v>
      </c>
      <c r="H23" s="7">
        <v>0.71</v>
      </c>
      <c r="I23" s="7">
        <v>0.09</v>
      </c>
      <c r="J23" s="7">
        <v>0</v>
      </c>
      <c r="K23" s="7">
        <v>0.7</v>
      </c>
      <c r="L23" s="7">
        <v>0.9</v>
      </c>
      <c r="M23" s="7">
        <v>0.27</v>
      </c>
      <c r="N23" s="7">
        <v>0.42</v>
      </c>
      <c r="O23" s="7">
        <v>0.12</v>
      </c>
      <c r="P23" s="7">
        <v>0</v>
      </c>
      <c r="Q23" s="7">
        <v>0.4</v>
      </c>
      <c r="R23" s="7">
        <v>0</v>
      </c>
      <c r="S23" s="17">
        <v>0.76</v>
      </c>
      <c r="T23" s="18">
        <f t="shared" si="0"/>
        <v>0.3725</v>
      </c>
    </row>
    <row r="24" spans="2:20" x14ac:dyDescent="0.3">
      <c r="B24" s="7" t="s">
        <v>58</v>
      </c>
      <c r="C24" s="7" t="s">
        <v>344</v>
      </c>
      <c r="D24" s="7">
        <v>0.13</v>
      </c>
      <c r="E24" s="7">
        <v>0.84</v>
      </c>
      <c r="F24" s="7">
        <v>0.48</v>
      </c>
      <c r="G24" s="7">
        <v>0.43</v>
      </c>
      <c r="H24" s="7">
        <v>0.32</v>
      </c>
      <c r="I24" s="7">
        <v>0.16</v>
      </c>
      <c r="J24" s="7">
        <v>0.38</v>
      </c>
      <c r="K24" s="7">
        <v>0.84</v>
      </c>
      <c r="L24" s="7">
        <v>0.1</v>
      </c>
      <c r="M24" s="7">
        <v>0.76</v>
      </c>
      <c r="N24" s="7">
        <v>0.19</v>
      </c>
      <c r="O24" s="7">
        <v>0.13</v>
      </c>
      <c r="P24" s="7">
        <v>0.04</v>
      </c>
      <c r="Q24" s="7">
        <v>0</v>
      </c>
      <c r="R24" s="7">
        <v>0.19</v>
      </c>
      <c r="S24" s="17">
        <v>0.67</v>
      </c>
      <c r="T24" s="18">
        <f t="shared" si="0"/>
        <v>0.35375000000000001</v>
      </c>
    </row>
    <row r="25" spans="2:20" x14ac:dyDescent="0.3">
      <c r="B25" s="7" t="s">
        <v>59</v>
      </c>
      <c r="C25" s="7" t="s">
        <v>347</v>
      </c>
      <c r="D25" s="7">
        <v>0.28000000000000003</v>
      </c>
      <c r="E25" s="7">
        <v>0</v>
      </c>
      <c r="F25" s="7">
        <v>0</v>
      </c>
      <c r="G25" s="7">
        <v>0</v>
      </c>
      <c r="H25" s="7">
        <v>0.16</v>
      </c>
      <c r="I25" s="7">
        <v>0.33</v>
      </c>
      <c r="J25" s="7">
        <v>0.31</v>
      </c>
      <c r="K25" s="7">
        <v>0</v>
      </c>
      <c r="L25" s="7">
        <v>0.28000000000000003</v>
      </c>
      <c r="M25" s="7">
        <v>0.4</v>
      </c>
      <c r="N25" s="7">
        <v>0.67</v>
      </c>
      <c r="O25" s="7">
        <v>0</v>
      </c>
      <c r="P25" s="7">
        <v>0.23</v>
      </c>
      <c r="Q25" s="7">
        <v>0.11</v>
      </c>
      <c r="R25" s="7">
        <v>0.52</v>
      </c>
      <c r="S25" s="17">
        <v>0.66</v>
      </c>
      <c r="T25" s="18">
        <f t="shared" si="0"/>
        <v>0.24687500000000001</v>
      </c>
    </row>
    <row r="26" spans="2:20" x14ac:dyDescent="0.3">
      <c r="B26" s="7" t="s">
        <v>60</v>
      </c>
      <c r="C26" s="7" t="s">
        <v>348</v>
      </c>
      <c r="D26" s="7">
        <v>0.82</v>
      </c>
      <c r="E26" s="7">
        <v>0.19</v>
      </c>
      <c r="F26" s="7">
        <v>0.22</v>
      </c>
      <c r="G26" s="7">
        <v>0.64</v>
      </c>
      <c r="H26" s="7">
        <v>0.61</v>
      </c>
      <c r="I26" s="7">
        <v>0.72</v>
      </c>
      <c r="J26" s="7">
        <v>0.08</v>
      </c>
      <c r="K26" s="7">
        <v>0.85</v>
      </c>
      <c r="L26" s="7">
        <v>0.97</v>
      </c>
      <c r="M26" s="7">
        <v>0.73</v>
      </c>
      <c r="N26" s="7">
        <v>0.56999999999999995</v>
      </c>
      <c r="O26" s="7">
        <v>0.34</v>
      </c>
      <c r="P26" s="7">
        <v>0.59</v>
      </c>
      <c r="Q26" s="7">
        <v>0.34</v>
      </c>
      <c r="R26" s="7">
        <v>0.46</v>
      </c>
      <c r="S26" s="17">
        <v>0</v>
      </c>
      <c r="T26" s="18">
        <f t="shared" si="0"/>
        <v>0.50812500000000005</v>
      </c>
    </row>
    <row r="27" spans="2:20" x14ac:dyDescent="0.3">
      <c r="B27" s="7" t="s">
        <v>61</v>
      </c>
      <c r="C27" s="7" t="s">
        <v>348</v>
      </c>
      <c r="D27" s="7">
        <v>0.68</v>
      </c>
      <c r="E27" s="7">
        <v>0.35</v>
      </c>
      <c r="F27" s="7">
        <v>0.28000000000000003</v>
      </c>
      <c r="G27" s="7">
        <v>0.33</v>
      </c>
      <c r="H27" s="7">
        <v>0</v>
      </c>
      <c r="I27" s="7">
        <v>0.52</v>
      </c>
      <c r="J27" s="7">
        <v>0.86</v>
      </c>
      <c r="K27" s="7">
        <v>0</v>
      </c>
      <c r="L27" s="7">
        <v>0.86</v>
      </c>
      <c r="M27" s="7">
        <v>0.75</v>
      </c>
      <c r="N27" s="7">
        <v>0.2</v>
      </c>
      <c r="O27" s="7">
        <v>0</v>
      </c>
      <c r="P27" s="7">
        <v>0</v>
      </c>
      <c r="Q27" s="7">
        <v>0.53</v>
      </c>
      <c r="R27" s="7">
        <v>0.43</v>
      </c>
      <c r="S27" s="17">
        <v>0.18</v>
      </c>
      <c r="T27" s="18">
        <f t="shared" si="0"/>
        <v>0.37312499999999998</v>
      </c>
    </row>
    <row r="28" spans="2:20" x14ac:dyDescent="0.3">
      <c r="B28" s="7" t="s">
        <v>62</v>
      </c>
      <c r="C28" s="7" t="s">
        <v>345</v>
      </c>
      <c r="D28" s="7">
        <v>0.34</v>
      </c>
      <c r="E28" s="7">
        <v>0</v>
      </c>
      <c r="F28" s="7">
        <v>0.09</v>
      </c>
      <c r="G28" s="7">
        <v>0.5</v>
      </c>
      <c r="H28" s="7">
        <v>0.46</v>
      </c>
      <c r="I28" s="7">
        <v>0</v>
      </c>
      <c r="J28" s="7">
        <v>0.64</v>
      </c>
      <c r="K28" s="7">
        <v>0.16</v>
      </c>
      <c r="L28" s="7">
        <v>0.03</v>
      </c>
      <c r="M28" s="7">
        <v>0.42</v>
      </c>
      <c r="N28" s="7">
        <v>0.47</v>
      </c>
      <c r="O28" s="7">
        <v>0.93</v>
      </c>
      <c r="P28" s="7">
        <v>0.27</v>
      </c>
      <c r="Q28" s="7">
        <v>0.57999999999999996</v>
      </c>
      <c r="R28" s="7">
        <v>0.75</v>
      </c>
      <c r="S28" s="17">
        <v>0.88</v>
      </c>
      <c r="T28" s="18">
        <f t="shared" si="0"/>
        <v>0.40750000000000003</v>
      </c>
    </row>
    <row r="29" spans="2:20" x14ac:dyDescent="0.3">
      <c r="B29" s="7" t="s">
        <v>63</v>
      </c>
      <c r="C29" s="7" t="s">
        <v>349</v>
      </c>
      <c r="D29" s="7">
        <v>0.89</v>
      </c>
      <c r="E29" s="7">
        <v>0</v>
      </c>
      <c r="F29" s="7">
        <v>0.34</v>
      </c>
      <c r="G29" s="7">
        <v>0.96</v>
      </c>
      <c r="H29" s="7">
        <v>0.5</v>
      </c>
      <c r="I29" s="7">
        <v>0.73</v>
      </c>
      <c r="J29" s="7">
        <v>0</v>
      </c>
      <c r="K29" s="7">
        <v>0</v>
      </c>
      <c r="L29" s="7">
        <v>0</v>
      </c>
      <c r="M29" s="7">
        <v>0.53</v>
      </c>
      <c r="N29" s="7">
        <v>0.42</v>
      </c>
      <c r="O29" s="7">
        <v>0</v>
      </c>
      <c r="P29" s="7">
        <v>0.56000000000000005</v>
      </c>
      <c r="Q29" s="7">
        <v>0</v>
      </c>
      <c r="R29" s="7">
        <v>0.78</v>
      </c>
      <c r="S29" s="17">
        <v>0.53</v>
      </c>
      <c r="T29" s="18">
        <f t="shared" si="0"/>
        <v>0.39</v>
      </c>
    </row>
    <row r="30" spans="2:20" x14ac:dyDescent="0.3">
      <c r="B30" s="7" t="s">
        <v>64</v>
      </c>
      <c r="C30" s="7" t="s">
        <v>347</v>
      </c>
      <c r="D30" s="7">
        <v>0.37</v>
      </c>
      <c r="E30" s="7">
        <v>0.27</v>
      </c>
      <c r="F30" s="7">
        <v>0.49</v>
      </c>
      <c r="G30" s="7">
        <v>0.85</v>
      </c>
      <c r="H30" s="7">
        <v>0.4</v>
      </c>
      <c r="I30" s="7">
        <v>0.48</v>
      </c>
      <c r="J30" s="7">
        <v>0.61</v>
      </c>
      <c r="K30" s="7">
        <v>0</v>
      </c>
      <c r="L30" s="7">
        <v>0.42</v>
      </c>
      <c r="M30" s="7">
        <v>0.15</v>
      </c>
      <c r="N30" s="7">
        <v>0</v>
      </c>
      <c r="O30" s="7">
        <v>0.53</v>
      </c>
      <c r="P30" s="7">
        <v>0.93</v>
      </c>
      <c r="Q30" s="7">
        <v>0.19</v>
      </c>
      <c r="R30" s="7">
        <v>0</v>
      </c>
      <c r="S30" s="17">
        <v>0.71</v>
      </c>
      <c r="T30" s="18">
        <f t="shared" si="0"/>
        <v>0.4</v>
      </c>
    </row>
    <row r="31" spans="2:20" x14ac:dyDescent="0.3">
      <c r="B31" s="7" t="s">
        <v>65</v>
      </c>
      <c r="C31" s="7" t="s">
        <v>348</v>
      </c>
      <c r="D31" s="7">
        <v>0</v>
      </c>
      <c r="E31" s="7">
        <v>0</v>
      </c>
      <c r="F31" s="7">
        <v>0</v>
      </c>
      <c r="G31" s="7">
        <v>0.6</v>
      </c>
      <c r="H31" s="7">
        <v>0.88</v>
      </c>
      <c r="I31" s="7">
        <v>0.04</v>
      </c>
      <c r="J31" s="7">
        <v>0.84</v>
      </c>
      <c r="K31" s="7">
        <v>0.27</v>
      </c>
      <c r="L31" s="7">
        <v>0</v>
      </c>
      <c r="M31" s="7">
        <v>0.83</v>
      </c>
      <c r="N31" s="7">
        <v>0.9</v>
      </c>
      <c r="O31" s="7">
        <v>1</v>
      </c>
      <c r="P31" s="7">
        <v>0.68</v>
      </c>
      <c r="Q31" s="7">
        <v>0</v>
      </c>
      <c r="R31" s="7">
        <v>0.7</v>
      </c>
      <c r="S31" s="17">
        <v>0.85</v>
      </c>
      <c r="T31" s="18">
        <f t="shared" si="0"/>
        <v>0.47437499999999999</v>
      </c>
    </row>
    <row r="32" spans="2:20" x14ac:dyDescent="0.3">
      <c r="B32" s="7" t="s">
        <v>66</v>
      </c>
      <c r="C32" s="7" t="s">
        <v>345</v>
      </c>
      <c r="D32" s="7">
        <v>0.15</v>
      </c>
      <c r="E32" s="7">
        <v>0</v>
      </c>
      <c r="F32" s="7">
        <v>0.57999999999999996</v>
      </c>
      <c r="G32" s="7">
        <v>0.63</v>
      </c>
      <c r="H32" s="7">
        <v>0.02</v>
      </c>
      <c r="I32" s="7">
        <v>0.95</v>
      </c>
      <c r="J32" s="7">
        <v>0.79</v>
      </c>
      <c r="K32" s="7">
        <v>0.55000000000000004</v>
      </c>
      <c r="L32" s="7">
        <v>0.79</v>
      </c>
      <c r="M32" s="7">
        <v>0</v>
      </c>
      <c r="N32" s="7">
        <v>0.51</v>
      </c>
      <c r="O32" s="7">
        <v>0</v>
      </c>
      <c r="P32" s="7">
        <v>0.27</v>
      </c>
      <c r="Q32" s="7">
        <v>0.74</v>
      </c>
      <c r="R32" s="7">
        <v>0</v>
      </c>
      <c r="S32" s="17">
        <v>0</v>
      </c>
      <c r="T32" s="18">
        <f t="shared" si="0"/>
        <v>0.37375000000000003</v>
      </c>
    </row>
    <row r="33" spans="2:20" x14ac:dyDescent="0.3">
      <c r="B33" s="7" t="s">
        <v>67</v>
      </c>
      <c r="C33" s="7" t="s">
        <v>349</v>
      </c>
      <c r="D33" s="7">
        <v>0.1</v>
      </c>
      <c r="E33" s="7">
        <v>0</v>
      </c>
      <c r="F33" s="7">
        <v>0.24</v>
      </c>
      <c r="G33" s="7">
        <v>0.36</v>
      </c>
      <c r="H33" s="7">
        <v>0.28000000000000003</v>
      </c>
      <c r="I33" s="7">
        <v>0.86</v>
      </c>
      <c r="J33" s="7">
        <v>0.82</v>
      </c>
      <c r="K33" s="7">
        <v>0.22</v>
      </c>
      <c r="L33" s="7">
        <v>0.3</v>
      </c>
      <c r="M33" s="7">
        <v>0</v>
      </c>
      <c r="N33" s="7">
        <v>0.06</v>
      </c>
      <c r="O33" s="7">
        <v>0.77</v>
      </c>
      <c r="P33" s="7">
        <v>0.3</v>
      </c>
      <c r="Q33" s="7">
        <v>0.53</v>
      </c>
      <c r="R33" s="7">
        <v>0.14000000000000001</v>
      </c>
      <c r="S33" s="17">
        <v>0.59</v>
      </c>
      <c r="T33" s="18">
        <f t="shared" si="0"/>
        <v>0.34812499999999996</v>
      </c>
    </row>
    <row r="34" spans="2:20" x14ac:dyDescent="0.3">
      <c r="B34" s="7" t="s">
        <v>68</v>
      </c>
      <c r="C34" s="7" t="s">
        <v>348</v>
      </c>
      <c r="D34" s="7">
        <v>0.02</v>
      </c>
      <c r="E34" s="7">
        <v>0.33</v>
      </c>
      <c r="F34" s="7">
        <v>0.5</v>
      </c>
      <c r="G34" s="7">
        <v>0.06</v>
      </c>
      <c r="H34" s="7">
        <v>0</v>
      </c>
      <c r="I34" s="7">
        <v>0.64</v>
      </c>
      <c r="J34" s="7">
        <v>0.2</v>
      </c>
      <c r="K34" s="7">
        <v>0.92</v>
      </c>
      <c r="L34" s="7">
        <v>0.28999999999999998</v>
      </c>
      <c r="M34" s="7">
        <v>0.47</v>
      </c>
      <c r="N34" s="7">
        <v>0</v>
      </c>
      <c r="O34" s="7">
        <v>0.43</v>
      </c>
      <c r="P34" s="7">
        <v>0.86</v>
      </c>
      <c r="Q34" s="7">
        <v>0</v>
      </c>
      <c r="R34" s="7">
        <v>0.14000000000000001</v>
      </c>
      <c r="S34" s="17">
        <v>0.46</v>
      </c>
      <c r="T34" s="18">
        <f t="shared" si="0"/>
        <v>0.33250000000000002</v>
      </c>
    </row>
    <row r="35" spans="2:20" x14ac:dyDescent="0.3">
      <c r="B35" s="7" t="s">
        <v>69</v>
      </c>
      <c r="C35" s="7" t="s">
        <v>344</v>
      </c>
      <c r="D35" s="7">
        <v>0</v>
      </c>
      <c r="E35" s="7">
        <v>0.57999999999999996</v>
      </c>
      <c r="F35" s="7">
        <v>0</v>
      </c>
      <c r="G35" s="7">
        <v>0.03</v>
      </c>
      <c r="H35" s="7">
        <v>0.03</v>
      </c>
      <c r="I35" s="7">
        <v>0.79</v>
      </c>
      <c r="J35" s="7">
        <v>0</v>
      </c>
      <c r="K35" s="7">
        <v>0.95</v>
      </c>
      <c r="L35" s="7">
        <v>0.57999999999999996</v>
      </c>
      <c r="M35" s="7">
        <v>0.49</v>
      </c>
      <c r="N35" s="7">
        <v>0.6</v>
      </c>
      <c r="O35" s="7">
        <v>0.14000000000000001</v>
      </c>
      <c r="P35" s="7">
        <v>0.83</v>
      </c>
      <c r="Q35" s="7">
        <v>0.12</v>
      </c>
      <c r="R35" s="7">
        <v>0.1</v>
      </c>
      <c r="S35" s="17">
        <v>0</v>
      </c>
      <c r="T35" s="18">
        <f t="shared" si="0"/>
        <v>0.32749999999999996</v>
      </c>
    </row>
    <row r="36" spans="2:20" x14ac:dyDescent="0.3">
      <c r="B36" s="7" t="s">
        <v>70</v>
      </c>
      <c r="C36" s="7" t="s">
        <v>345</v>
      </c>
      <c r="D36" s="7">
        <v>0.18</v>
      </c>
      <c r="E36" s="7">
        <v>0</v>
      </c>
      <c r="F36" s="7">
        <v>0</v>
      </c>
      <c r="G36" s="7">
        <v>0.71</v>
      </c>
      <c r="H36" s="7">
        <v>0.21</v>
      </c>
      <c r="I36" s="7">
        <v>0.56999999999999995</v>
      </c>
      <c r="J36" s="7">
        <v>0.37</v>
      </c>
      <c r="K36" s="7">
        <v>0.78</v>
      </c>
      <c r="L36" s="7">
        <v>0.5</v>
      </c>
      <c r="M36" s="7">
        <v>0</v>
      </c>
      <c r="N36" s="7">
        <v>0.24</v>
      </c>
      <c r="O36" s="7">
        <v>0.2</v>
      </c>
      <c r="P36" s="7">
        <v>0.92</v>
      </c>
      <c r="Q36" s="7">
        <v>0.28000000000000003</v>
      </c>
      <c r="R36" s="7">
        <v>0.59</v>
      </c>
      <c r="S36" s="17">
        <v>0.05</v>
      </c>
      <c r="T36" s="18">
        <f t="shared" si="0"/>
        <v>0.35000000000000003</v>
      </c>
    </row>
    <row r="37" spans="2:20" x14ac:dyDescent="0.3">
      <c r="B37" s="7" t="s">
        <v>71</v>
      </c>
      <c r="C37" s="7" t="s">
        <v>347</v>
      </c>
      <c r="D37" s="7">
        <v>0</v>
      </c>
      <c r="E37" s="7">
        <v>0.41</v>
      </c>
      <c r="F37" s="7">
        <v>0.25</v>
      </c>
      <c r="G37" s="7">
        <v>0.15</v>
      </c>
      <c r="H37" s="7">
        <v>0.06</v>
      </c>
      <c r="I37" s="7">
        <v>0.34</v>
      </c>
      <c r="J37" s="7">
        <v>0.98</v>
      </c>
      <c r="K37" s="7">
        <v>0.85</v>
      </c>
      <c r="L37" s="7">
        <v>0.36</v>
      </c>
      <c r="M37" s="7">
        <v>0.63</v>
      </c>
      <c r="N37" s="7">
        <v>0.09</v>
      </c>
      <c r="O37" s="7">
        <v>0.55000000000000004</v>
      </c>
      <c r="P37" s="7">
        <v>0.81</v>
      </c>
      <c r="Q37" s="7">
        <v>0.35</v>
      </c>
      <c r="R37" s="7">
        <v>0.63</v>
      </c>
      <c r="S37" s="17">
        <v>0.93</v>
      </c>
      <c r="T37" s="18">
        <f t="shared" si="0"/>
        <v>0.46187499999999998</v>
      </c>
    </row>
    <row r="38" spans="2:20" x14ac:dyDescent="0.3">
      <c r="B38" s="7" t="s">
        <v>72</v>
      </c>
      <c r="C38" s="7" t="s">
        <v>346</v>
      </c>
      <c r="D38" s="7">
        <v>0.43</v>
      </c>
      <c r="E38" s="7">
        <v>0.01</v>
      </c>
      <c r="F38" s="7">
        <v>0.76</v>
      </c>
      <c r="G38" s="7">
        <v>0</v>
      </c>
      <c r="H38" s="7">
        <v>0.83</v>
      </c>
      <c r="I38" s="7">
        <v>0.62</v>
      </c>
      <c r="J38" s="7">
        <v>0</v>
      </c>
      <c r="K38" s="7">
        <v>0.43</v>
      </c>
      <c r="L38" s="7">
        <v>0.15</v>
      </c>
      <c r="M38" s="7">
        <v>0</v>
      </c>
      <c r="N38" s="7">
        <v>0.93</v>
      </c>
      <c r="O38" s="7">
        <v>0.52</v>
      </c>
      <c r="P38" s="7">
        <v>0</v>
      </c>
      <c r="Q38" s="7">
        <v>0.54</v>
      </c>
      <c r="R38" s="7">
        <v>0.14000000000000001</v>
      </c>
      <c r="S38" s="17">
        <v>0.22</v>
      </c>
      <c r="T38" s="18">
        <f t="shared" si="0"/>
        <v>0.34874999999999995</v>
      </c>
    </row>
    <row r="39" spans="2:20" x14ac:dyDescent="0.3">
      <c r="B39" s="7" t="s">
        <v>73</v>
      </c>
      <c r="C39" s="7" t="s">
        <v>347</v>
      </c>
      <c r="D39" s="7">
        <v>0.47</v>
      </c>
      <c r="E39" s="7">
        <v>0.02</v>
      </c>
      <c r="F39" s="7">
        <v>0.89</v>
      </c>
      <c r="G39" s="7">
        <v>0</v>
      </c>
      <c r="H39" s="7">
        <v>0.34</v>
      </c>
      <c r="I39" s="7">
        <v>0</v>
      </c>
      <c r="J39" s="7">
        <v>0.81</v>
      </c>
      <c r="K39" s="7">
        <v>0.59</v>
      </c>
      <c r="L39" s="7">
        <v>0.91</v>
      </c>
      <c r="M39" s="7">
        <v>0.45</v>
      </c>
      <c r="N39" s="7">
        <v>0.95</v>
      </c>
      <c r="O39" s="7">
        <v>0</v>
      </c>
      <c r="P39" s="7">
        <v>0.76</v>
      </c>
      <c r="Q39" s="7">
        <v>0.49</v>
      </c>
      <c r="R39" s="7">
        <v>0.34</v>
      </c>
      <c r="S39" s="17">
        <v>0</v>
      </c>
      <c r="T39" s="18">
        <f t="shared" si="0"/>
        <v>0.43875000000000003</v>
      </c>
    </row>
    <row r="40" spans="2:20" x14ac:dyDescent="0.3">
      <c r="B40" s="7" t="s">
        <v>74</v>
      </c>
      <c r="C40" s="7" t="s">
        <v>347</v>
      </c>
      <c r="D40" s="7">
        <v>0.48</v>
      </c>
      <c r="E40" s="7">
        <v>0.52</v>
      </c>
      <c r="F40" s="7">
        <v>0.48</v>
      </c>
      <c r="G40" s="7">
        <v>0.56999999999999995</v>
      </c>
      <c r="H40" s="7">
        <v>0.77</v>
      </c>
      <c r="I40" s="7">
        <v>0.89</v>
      </c>
      <c r="J40" s="7">
        <v>0</v>
      </c>
      <c r="K40" s="7">
        <v>0.81</v>
      </c>
      <c r="L40" s="7">
        <v>0</v>
      </c>
      <c r="M40" s="7">
        <v>0.09</v>
      </c>
      <c r="N40" s="7">
        <v>0.16</v>
      </c>
      <c r="O40" s="7">
        <v>0.08</v>
      </c>
      <c r="P40" s="7">
        <v>0.19</v>
      </c>
      <c r="Q40" s="7">
        <v>0</v>
      </c>
      <c r="R40" s="7">
        <v>0</v>
      </c>
      <c r="S40" s="17">
        <v>0.33</v>
      </c>
      <c r="T40" s="18">
        <f t="shared" si="0"/>
        <v>0.33562500000000001</v>
      </c>
    </row>
    <row r="41" spans="2:20" x14ac:dyDescent="0.3">
      <c r="B41" s="7" t="s">
        <v>75</v>
      </c>
      <c r="C41" s="7" t="s">
        <v>345</v>
      </c>
      <c r="D41" s="7">
        <v>0</v>
      </c>
      <c r="E41" s="7">
        <v>0</v>
      </c>
      <c r="F41" s="7">
        <v>0.22</v>
      </c>
      <c r="G41" s="7">
        <v>0.5</v>
      </c>
      <c r="H41" s="7">
        <v>0.14000000000000001</v>
      </c>
      <c r="I41" s="7">
        <v>0</v>
      </c>
      <c r="J41" s="7">
        <v>0.43</v>
      </c>
      <c r="K41" s="7">
        <v>0</v>
      </c>
      <c r="L41" s="7">
        <v>0.39</v>
      </c>
      <c r="M41" s="7">
        <v>0.86</v>
      </c>
      <c r="N41" s="7">
        <v>0</v>
      </c>
      <c r="O41" s="7">
        <v>0.92</v>
      </c>
      <c r="P41" s="7">
        <v>0</v>
      </c>
      <c r="Q41" s="7">
        <v>0.54</v>
      </c>
      <c r="R41" s="7">
        <v>0.28000000000000003</v>
      </c>
      <c r="S41" s="17">
        <v>0.1</v>
      </c>
      <c r="T41" s="18">
        <f t="shared" si="0"/>
        <v>0.27374999999999999</v>
      </c>
    </row>
    <row r="42" spans="2:20" x14ac:dyDescent="0.3">
      <c r="B42" s="7" t="s">
        <v>76</v>
      </c>
      <c r="C42" s="7" t="s">
        <v>345</v>
      </c>
      <c r="D42" s="7">
        <v>0.66</v>
      </c>
      <c r="E42" s="7">
        <v>0.72</v>
      </c>
      <c r="F42" s="7">
        <v>0.12</v>
      </c>
      <c r="G42" s="7">
        <v>0.62</v>
      </c>
      <c r="H42" s="7">
        <v>0.54</v>
      </c>
      <c r="I42" s="7">
        <v>0.6</v>
      </c>
      <c r="J42" s="7">
        <v>0.06</v>
      </c>
      <c r="K42" s="7">
        <v>0.08</v>
      </c>
      <c r="L42" s="7">
        <v>0.11</v>
      </c>
      <c r="M42" s="7">
        <v>0.7</v>
      </c>
      <c r="N42" s="7">
        <v>0.16</v>
      </c>
      <c r="O42" s="7">
        <v>0.43</v>
      </c>
      <c r="P42" s="7">
        <v>0.73</v>
      </c>
      <c r="Q42" s="7">
        <v>0.68</v>
      </c>
      <c r="R42" s="7">
        <v>0.62</v>
      </c>
      <c r="S42" s="17">
        <v>0</v>
      </c>
      <c r="T42" s="18">
        <f t="shared" si="0"/>
        <v>0.42687499999999995</v>
      </c>
    </row>
    <row r="43" spans="2:20" x14ac:dyDescent="0.3">
      <c r="B43" s="7" t="s">
        <v>77</v>
      </c>
      <c r="C43" s="7" t="s">
        <v>349</v>
      </c>
      <c r="D43" s="7">
        <v>0</v>
      </c>
      <c r="E43" s="7">
        <v>0.73</v>
      </c>
      <c r="F43" s="7">
        <v>0.06</v>
      </c>
      <c r="G43" s="7">
        <v>0.5</v>
      </c>
      <c r="H43" s="7">
        <v>0</v>
      </c>
      <c r="I43" s="7">
        <v>0.88</v>
      </c>
      <c r="J43" s="7">
        <v>0.85</v>
      </c>
      <c r="K43" s="7">
        <v>0.1</v>
      </c>
      <c r="L43" s="7">
        <v>0</v>
      </c>
      <c r="M43" s="7">
        <v>0.08</v>
      </c>
      <c r="N43" s="7">
        <v>0.74</v>
      </c>
      <c r="O43" s="7">
        <v>0.47</v>
      </c>
      <c r="P43" s="7">
        <v>0.53</v>
      </c>
      <c r="Q43" s="7">
        <v>0</v>
      </c>
      <c r="R43" s="7">
        <v>0.73</v>
      </c>
      <c r="S43" s="17">
        <v>0.73</v>
      </c>
      <c r="T43" s="18">
        <f t="shared" si="0"/>
        <v>0.4</v>
      </c>
    </row>
    <row r="44" spans="2:20" x14ac:dyDescent="0.3">
      <c r="B44" s="7" t="s">
        <v>78</v>
      </c>
      <c r="C44" s="7" t="s">
        <v>344</v>
      </c>
      <c r="D44" s="7">
        <v>0</v>
      </c>
      <c r="E44" s="7">
        <v>0.6</v>
      </c>
      <c r="F44" s="7">
        <v>0.22</v>
      </c>
      <c r="G44" s="7">
        <v>0.67</v>
      </c>
      <c r="H44" s="7">
        <v>0</v>
      </c>
      <c r="I44" s="7">
        <v>0</v>
      </c>
      <c r="J44" s="7">
        <v>0</v>
      </c>
      <c r="K44" s="7">
        <v>0.12</v>
      </c>
      <c r="L44" s="7">
        <v>0</v>
      </c>
      <c r="M44" s="7">
        <v>0.34</v>
      </c>
      <c r="N44" s="7">
        <v>0.56000000000000005</v>
      </c>
      <c r="O44" s="7">
        <v>0</v>
      </c>
      <c r="P44" s="7">
        <v>0</v>
      </c>
      <c r="Q44" s="7">
        <v>0.4</v>
      </c>
      <c r="R44" s="7">
        <v>0.27</v>
      </c>
      <c r="S44" s="17">
        <v>0</v>
      </c>
      <c r="T44" s="18">
        <f t="shared" si="0"/>
        <v>0.19874999999999998</v>
      </c>
    </row>
    <row r="45" spans="2:20" x14ac:dyDescent="0.3">
      <c r="B45" s="7" t="s">
        <v>79</v>
      </c>
      <c r="C45" s="7" t="s">
        <v>346</v>
      </c>
      <c r="D45" s="7">
        <v>0.13</v>
      </c>
      <c r="E45" s="7">
        <v>0.52</v>
      </c>
      <c r="F45" s="7">
        <v>0</v>
      </c>
      <c r="G45" s="7">
        <v>0.81</v>
      </c>
      <c r="H45" s="7">
        <v>0.39</v>
      </c>
      <c r="I45" s="7">
        <v>0.73</v>
      </c>
      <c r="J45" s="7">
        <v>0.3</v>
      </c>
      <c r="K45" s="7">
        <v>0.06</v>
      </c>
      <c r="L45" s="7">
        <v>0</v>
      </c>
      <c r="M45" s="7">
        <v>0.95</v>
      </c>
      <c r="N45" s="7">
        <v>0</v>
      </c>
      <c r="O45" s="7">
        <v>0.77</v>
      </c>
      <c r="P45" s="7">
        <v>0.28000000000000003</v>
      </c>
      <c r="Q45" s="7">
        <v>0.02</v>
      </c>
      <c r="R45" s="7">
        <v>0.94</v>
      </c>
      <c r="S45" s="17">
        <v>0.34</v>
      </c>
      <c r="T45" s="18">
        <f t="shared" si="0"/>
        <v>0.39</v>
      </c>
    </row>
    <row r="46" spans="2:20" x14ac:dyDescent="0.3">
      <c r="B46" s="7" t="s">
        <v>80</v>
      </c>
      <c r="C46" s="7" t="s">
        <v>344</v>
      </c>
      <c r="D46" s="7">
        <v>0</v>
      </c>
      <c r="E46" s="7">
        <v>0.24</v>
      </c>
      <c r="F46" s="7">
        <v>0.11</v>
      </c>
      <c r="G46" s="7">
        <v>0.52</v>
      </c>
      <c r="H46" s="7">
        <v>0.27</v>
      </c>
      <c r="I46" s="7">
        <v>0.91</v>
      </c>
      <c r="J46" s="7">
        <v>0.13</v>
      </c>
      <c r="K46" s="7">
        <v>0.27</v>
      </c>
      <c r="L46" s="7">
        <v>1</v>
      </c>
      <c r="M46" s="7">
        <v>0</v>
      </c>
      <c r="N46" s="7">
        <v>0.28999999999999998</v>
      </c>
      <c r="O46" s="7">
        <v>0</v>
      </c>
      <c r="P46" s="7">
        <v>0.56999999999999995</v>
      </c>
      <c r="Q46" s="7">
        <v>0</v>
      </c>
      <c r="R46" s="7">
        <v>0.71</v>
      </c>
      <c r="S46" s="17">
        <v>0.34</v>
      </c>
      <c r="T46" s="18">
        <f t="shared" si="0"/>
        <v>0.33500000000000002</v>
      </c>
    </row>
    <row r="47" spans="2:20" x14ac:dyDescent="0.3">
      <c r="B47" s="7" t="s">
        <v>81</v>
      </c>
      <c r="C47" s="7" t="s">
        <v>347</v>
      </c>
      <c r="D47" s="7">
        <v>0</v>
      </c>
      <c r="E47" s="7">
        <v>0.08</v>
      </c>
      <c r="F47" s="7">
        <v>0.63</v>
      </c>
      <c r="G47" s="7">
        <v>0.85</v>
      </c>
      <c r="H47" s="7">
        <v>0</v>
      </c>
      <c r="I47" s="7">
        <v>0.12</v>
      </c>
      <c r="J47" s="7">
        <v>0.93</v>
      </c>
      <c r="K47" s="7">
        <v>0.63</v>
      </c>
      <c r="L47" s="7">
        <v>0.43</v>
      </c>
      <c r="M47" s="7">
        <v>0.18</v>
      </c>
      <c r="N47" s="7">
        <v>0.75</v>
      </c>
      <c r="O47" s="7">
        <v>0.28999999999999998</v>
      </c>
      <c r="P47" s="7">
        <v>0.32</v>
      </c>
      <c r="Q47" s="7">
        <v>0</v>
      </c>
      <c r="R47" s="7">
        <v>0.33</v>
      </c>
      <c r="S47" s="17">
        <v>0.78</v>
      </c>
      <c r="T47" s="18">
        <f t="shared" si="0"/>
        <v>0.39500000000000007</v>
      </c>
    </row>
    <row r="48" spans="2:20" x14ac:dyDescent="0.3">
      <c r="B48" s="7" t="s">
        <v>82</v>
      </c>
      <c r="C48" s="7" t="s">
        <v>349</v>
      </c>
      <c r="D48" s="7">
        <v>0.86</v>
      </c>
      <c r="E48" s="7">
        <v>0.63</v>
      </c>
      <c r="F48" s="7">
        <v>0.34</v>
      </c>
      <c r="G48" s="7">
        <v>0</v>
      </c>
      <c r="H48" s="7">
        <v>0</v>
      </c>
      <c r="I48" s="7">
        <v>0.25</v>
      </c>
      <c r="J48" s="7">
        <v>0.75</v>
      </c>
      <c r="K48" s="7">
        <v>0</v>
      </c>
      <c r="L48" s="7">
        <v>0.55000000000000004</v>
      </c>
      <c r="M48" s="7">
        <v>0.11</v>
      </c>
      <c r="N48" s="7">
        <v>0.02</v>
      </c>
      <c r="O48" s="7">
        <v>0.2</v>
      </c>
      <c r="P48" s="7">
        <v>0.56999999999999995</v>
      </c>
      <c r="Q48" s="7">
        <v>0.3</v>
      </c>
      <c r="R48" s="7">
        <v>0.04</v>
      </c>
      <c r="S48" s="17">
        <v>0.1</v>
      </c>
      <c r="T48" s="18">
        <f t="shared" si="0"/>
        <v>0.29499999999999998</v>
      </c>
    </row>
    <row r="49" spans="2:20" x14ac:dyDescent="0.3">
      <c r="B49" s="7" t="s">
        <v>83</v>
      </c>
      <c r="C49" s="7" t="s">
        <v>346</v>
      </c>
      <c r="D49" s="7">
        <v>0.38</v>
      </c>
      <c r="E49" s="7">
        <v>0.44</v>
      </c>
      <c r="F49" s="7">
        <v>0.77</v>
      </c>
      <c r="G49" s="7">
        <v>0.68</v>
      </c>
      <c r="H49" s="7">
        <v>0.2</v>
      </c>
      <c r="I49" s="7">
        <v>0.64</v>
      </c>
      <c r="J49" s="7">
        <v>0.31</v>
      </c>
      <c r="K49" s="7">
        <v>0.04</v>
      </c>
      <c r="L49" s="7">
        <v>0.33</v>
      </c>
      <c r="M49" s="7">
        <v>0</v>
      </c>
      <c r="N49" s="7">
        <v>0.46</v>
      </c>
      <c r="O49" s="7">
        <v>0.86</v>
      </c>
      <c r="P49" s="7">
        <v>0.26</v>
      </c>
      <c r="Q49" s="7">
        <v>0.77</v>
      </c>
      <c r="R49" s="7">
        <v>0</v>
      </c>
      <c r="S49" s="17">
        <v>0.88</v>
      </c>
      <c r="T49" s="18">
        <f t="shared" si="0"/>
        <v>0.43875000000000003</v>
      </c>
    </row>
    <row r="50" spans="2:20" x14ac:dyDescent="0.3">
      <c r="B50" s="7" t="s">
        <v>84</v>
      </c>
      <c r="C50" s="7" t="s">
        <v>345</v>
      </c>
      <c r="D50" s="7">
        <v>0.14000000000000001</v>
      </c>
      <c r="E50" s="7">
        <v>0.61</v>
      </c>
      <c r="F50" s="7">
        <v>0.32</v>
      </c>
      <c r="G50" s="7">
        <v>0.3</v>
      </c>
      <c r="H50" s="7">
        <v>0</v>
      </c>
      <c r="I50" s="7">
        <v>0.55000000000000004</v>
      </c>
      <c r="J50" s="7">
        <v>0.1</v>
      </c>
      <c r="K50" s="7">
        <v>0</v>
      </c>
      <c r="L50" s="7">
        <v>0.56999999999999995</v>
      </c>
      <c r="M50" s="7">
        <v>0.36</v>
      </c>
      <c r="N50" s="7">
        <v>0.15</v>
      </c>
      <c r="O50" s="7">
        <v>0</v>
      </c>
      <c r="P50" s="7">
        <v>0</v>
      </c>
      <c r="Q50" s="7">
        <v>0.47</v>
      </c>
      <c r="R50" s="7">
        <v>0.86</v>
      </c>
      <c r="S50" s="17">
        <v>0.41</v>
      </c>
      <c r="T50" s="18">
        <f t="shared" si="0"/>
        <v>0.30249999999999999</v>
      </c>
    </row>
    <row r="51" spans="2:20" x14ac:dyDescent="0.3">
      <c r="B51" s="7" t="s">
        <v>85</v>
      </c>
      <c r="C51" s="7" t="s">
        <v>346</v>
      </c>
      <c r="D51" s="7">
        <v>0.76</v>
      </c>
      <c r="E51" s="7">
        <v>0.99</v>
      </c>
      <c r="F51" s="7">
        <v>0.08</v>
      </c>
      <c r="G51" s="7">
        <v>0</v>
      </c>
      <c r="H51" s="7">
        <v>0</v>
      </c>
      <c r="I51" s="7">
        <v>0.73</v>
      </c>
      <c r="J51" s="7">
        <v>0.33</v>
      </c>
      <c r="K51" s="7">
        <v>0.03</v>
      </c>
      <c r="L51" s="7">
        <v>0</v>
      </c>
      <c r="M51" s="7">
        <v>0.77</v>
      </c>
      <c r="N51" s="7">
        <v>0.34</v>
      </c>
      <c r="O51" s="7">
        <v>0.76</v>
      </c>
      <c r="P51" s="7">
        <v>0.49</v>
      </c>
      <c r="Q51" s="7">
        <v>0.74</v>
      </c>
      <c r="R51" s="7">
        <v>0.1</v>
      </c>
      <c r="S51" s="17">
        <v>0.54</v>
      </c>
      <c r="T51" s="18">
        <f t="shared" si="0"/>
        <v>0.41625000000000001</v>
      </c>
    </row>
    <row r="52" spans="2:20" x14ac:dyDescent="0.3">
      <c r="B52" s="7" t="s">
        <v>86</v>
      </c>
      <c r="C52" s="7" t="s">
        <v>349</v>
      </c>
      <c r="D52" s="7">
        <v>0</v>
      </c>
      <c r="E52" s="7">
        <v>0</v>
      </c>
      <c r="F52" s="7">
        <v>0.34</v>
      </c>
      <c r="G52" s="7">
        <v>0</v>
      </c>
      <c r="H52" s="7">
        <v>0</v>
      </c>
      <c r="I52" s="7">
        <v>0.5</v>
      </c>
      <c r="J52" s="7">
        <v>0.05</v>
      </c>
      <c r="K52" s="7">
        <v>0.95</v>
      </c>
      <c r="L52" s="7">
        <v>0.51</v>
      </c>
      <c r="M52" s="7">
        <v>0.52</v>
      </c>
      <c r="N52" s="7">
        <v>0.44</v>
      </c>
      <c r="O52" s="7">
        <v>0</v>
      </c>
      <c r="P52" s="7">
        <v>0</v>
      </c>
      <c r="Q52" s="7">
        <v>0.04</v>
      </c>
      <c r="R52" s="7">
        <v>0</v>
      </c>
      <c r="S52" s="17">
        <v>0.21</v>
      </c>
      <c r="T52" s="18">
        <f t="shared" si="0"/>
        <v>0.2225</v>
      </c>
    </row>
    <row r="53" spans="2:20" x14ac:dyDescent="0.3">
      <c r="B53" s="7" t="s">
        <v>87</v>
      </c>
      <c r="C53" s="7" t="s">
        <v>346</v>
      </c>
      <c r="D53" s="7">
        <v>0.28999999999999998</v>
      </c>
      <c r="E53" s="7">
        <v>0.52</v>
      </c>
      <c r="F53" s="7">
        <v>0.15</v>
      </c>
      <c r="G53" s="7">
        <v>0.56999999999999995</v>
      </c>
      <c r="H53" s="7">
        <v>0.74</v>
      </c>
      <c r="I53" s="7">
        <v>0.9</v>
      </c>
      <c r="J53" s="7">
        <v>0.63</v>
      </c>
      <c r="K53" s="7">
        <v>0.45</v>
      </c>
      <c r="L53" s="7">
        <v>0</v>
      </c>
      <c r="M53" s="7">
        <v>0.75</v>
      </c>
      <c r="N53" s="7">
        <v>0</v>
      </c>
      <c r="O53" s="7">
        <v>0.31</v>
      </c>
      <c r="P53" s="7">
        <v>0.28999999999999998</v>
      </c>
      <c r="Q53" s="7">
        <v>0.02</v>
      </c>
      <c r="R53" s="7">
        <v>0.43</v>
      </c>
      <c r="S53" s="17">
        <v>0.11</v>
      </c>
      <c r="T53" s="18">
        <f t="shared" si="0"/>
        <v>0.38499999999999995</v>
      </c>
    </row>
    <row r="54" spans="2:20" x14ac:dyDescent="0.3">
      <c r="B54" s="7" t="s">
        <v>88</v>
      </c>
      <c r="C54" s="7" t="s">
        <v>345</v>
      </c>
      <c r="D54" s="7">
        <v>0.96</v>
      </c>
      <c r="E54" s="7">
        <v>0.77</v>
      </c>
      <c r="F54" s="7">
        <v>0.2</v>
      </c>
      <c r="G54" s="7">
        <v>0.41</v>
      </c>
      <c r="H54" s="7">
        <v>0.32</v>
      </c>
      <c r="I54" s="7">
        <v>0.62</v>
      </c>
      <c r="J54" s="7">
        <v>0.67</v>
      </c>
      <c r="K54" s="7">
        <v>0.15</v>
      </c>
      <c r="L54" s="7">
        <v>0.13</v>
      </c>
      <c r="M54" s="7">
        <v>0.13</v>
      </c>
      <c r="N54" s="7">
        <v>0</v>
      </c>
      <c r="O54" s="7">
        <v>0.94</v>
      </c>
      <c r="P54" s="7">
        <v>0</v>
      </c>
      <c r="Q54" s="7">
        <v>0</v>
      </c>
      <c r="R54" s="7">
        <v>0.78</v>
      </c>
      <c r="S54" s="17">
        <v>0</v>
      </c>
      <c r="T54" s="18">
        <f t="shared" si="0"/>
        <v>0.37999999999999995</v>
      </c>
    </row>
    <row r="55" spans="2:20" x14ac:dyDescent="0.3">
      <c r="B55" s="7" t="s">
        <v>89</v>
      </c>
      <c r="C55" s="7" t="s">
        <v>349</v>
      </c>
      <c r="D55" s="7">
        <v>0.17</v>
      </c>
      <c r="E55" s="7">
        <v>0.65</v>
      </c>
      <c r="F55" s="7">
        <v>0</v>
      </c>
      <c r="G55" s="7">
        <v>0.77</v>
      </c>
      <c r="H55" s="7">
        <v>0.92</v>
      </c>
      <c r="I55" s="7">
        <v>0.69</v>
      </c>
      <c r="J55" s="7">
        <v>0.56000000000000005</v>
      </c>
      <c r="K55" s="7">
        <v>0.85</v>
      </c>
      <c r="L55" s="7">
        <v>0.6</v>
      </c>
      <c r="M55" s="7">
        <v>0.17</v>
      </c>
      <c r="N55" s="7">
        <v>0.53</v>
      </c>
      <c r="O55" s="7">
        <v>0.01</v>
      </c>
      <c r="P55" s="7">
        <v>0.48</v>
      </c>
      <c r="Q55" s="7">
        <v>0.81</v>
      </c>
      <c r="R55" s="7">
        <v>0.02</v>
      </c>
      <c r="S55" s="17">
        <v>0</v>
      </c>
      <c r="T55" s="18">
        <f t="shared" si="0"/>
        <v>0.45187500000000003</v>
      </c>
    </row>
    <row r="56" spans="2:20" x14ac:dyDescent="0.3">
      <c r="B56" s="7" t="s">
        <v>90</v>
      </c>
      <c r="C56" s="7" t="s">
        <v>346</v>
      </c>
      <c r="D56" s="7">
        <v>0.1</v>
      </c>
      <c r="E56" s="7">
        <v>0.09</v>
      </c>
      <c r="F56" s="7">
        <v>0.06</v>
      </c>
      <c r="G56" s="7">
        <v>0.11</v>
      </c>
      <c r="H56" s="7">
        <v>0.95</v>
      </c>
      <c r="I56" s="7">
        <v>0</v>
      </c>
      <c r="J56" s="7">
        <v>0.35</v>
      </c>
      <c r="K56" s="7">
        <v>0.95</v>
      </c>
      <c r="L56" s="7">
        <v>0</v>
      </c>
      <c r="M56" s="7">
        <v>0.66</v>
      </c>
      <c r="N56" s="7">
        <v>0.56000000000000005</v>
      </c>
      <c r="O56" s="7">
        <v>0.51</v>
      </c>
      <c r="P56" s="7">
        <v>0.86</v>
      </c>
      <c r="Q56" s="7">
        <v>0</v>
      </c>
      <c r="R56" s="7">
        <v>0</v>
      </c>
      <c r="S56" s="17">
        <v>0.05</v>
      </c>
      <c r="T56" s="18">
        <f t="shared" si="0"/>
        <v>0.32812500000000006</v>
      </c>
    </row>
    <row r="57" spans="2:20" x14ac:dyDescent="0.3">
      <c r="B57" s="7" t="s">
        <v>91</v>
      </c>
      <c r="C57" s="7" t="s">
        <v>347</v>
      </c>
      <c r="D57" s="7">
        <v>7.0000000000000007E-2</v>
      </c>
      <c r="E57" s="7">
        <v>0.46</v>
      </c>
      <c r="F57" s="7">
        <v>0.5</v>
      </c>
      <c r="G57" s="7">
        <v>0.23</v>
      </c>
      <c r="H57" s="7">
        <v>0.95</v>
      </c>
      <c r="I57" s="7">
        <v>0</v>
      </c>
      <c r="J57" s="7">
        <v>0.55000000000000004</v>
      </c>
      <c r="K57" s="7">
        <v>0</v>
      </c>
      <c r="L57" s="7">
        <v>0.59</v>
      </c>
      <c r="M57" s="7">
        <v>0.91</v>
      </c>
      <c r="N57" s="7">
        <v>0.44</v>
      </c>
      <c r="O57" s="7">
        <v>0</v>
      </c>
      <c r="P57" s="7">
        <v>0</v>
      </c>
      <c r="Q57" s="7">
        <v>0.48</v>
      </c>
      <c r="R57" s="7">
        <v>0.6</v>
      </c>
      <c r="S57" s="17">
        <v>0.28000000000000003</v>
      </c>
      <c r="T57" s="18">
        <f t="shared" si="0"/>
        <v>0.37874999999999998</v>
      </c>
    </row>
    <row r="58" spans="2:20" x14ac:dyDescent="0.3">
      <c r="B58" s="7" t="s">
        <v>92</v>
      </c>
      <c r="C58" s="7" t="s">
        <v>345</v>
      </c>
      <c r="D58" s="7">
        <v>0.31</v>
      </c>
      <c r="E58" s="7">
        <v>0.25</v>
      </c>
      <c r="F58" s="7">
        <v>0.13</v>
      </c>
      <c r="G58" s="7">
        <v>0</v>
      </c>
      <c r="H58" s="7">
        <v>0.37</v>
      </c>
      <c r="I58" s="7">
        <v>0.6</v>
      </c>
      <c r="J58" s="7">
        <v>0.53</v>
      </c>
      <c r="K58" s="7">
        <v>0.6</v>
      </c>
      <c r="L58" s="7">
        <v>0</v>
      </c>
      <c r="M58" s="7">
        <v>0.31</v>
      </c>
      <c r="N58" s="7">
        <v>0</v>
      </c>
      <c r="O58" s="7">
        <v>0.9</v>
      </c>
      <c r="P58" s="7">
        <v>0</v>
      </c>
      <c r="Q58" s="7">
        <v>0</v>
      </c>
      <c r="R58" s="7">
        <v>0.09</v>
      </c>
      <c r="S58" s="17">
        <v>0</v>
      </c>
      <c r="T58" s="18">
        <f t="shared" si="0"/>
        <v>0.25562500000000005</v>
      </c>
    </row>
    <row r="59" spans="2:20" x14ac:dyDescent="0.3">
      <c r="B59" s="7" t="s">
        <v>93</v>
      </c>
      <c r="C59" s="7" t="s">
        <v>347</v>
      </c>
      <c r="D59" s="7">
        <v>0.55000000000000004</v>
      </c>
      <c r="E59" s="7">
        <v>0.49</v>
      </c>
      <c r="F59" s="7">
        <v>0.23</v>
      </c>
      <c r="G59" s="7">
        <v>0.81</v>
      </c>
      <c r="H59" s="7">
        <v>0.87</v>
      </c>
      <c r="I59" s="7">
        <v>0.23</v>
      </c>
      <c r="J59" s="7">
        <v>0.77</v>
      </c>
      <c r="K59" s="7">
        <v>0.45</v>
      </c>
      <c r="L59" s="7">
        <v>0</v>
      </c>
      <c r="M59" s="7">
        <v>1</v>
      </c>
      <c r="N59" s="7">
        <v>0</v>
      </c>
      <c r="O59" s="7">
        <v>0.4</v>
      </c>
      <c r="P59" s="7">
        <v>0.6</v>
      </c>
      <c r="Q59" s="7">
        <v>0.49</v>
      </c>
      <c r="R59" s="7">
        <v>0.24</v>
      </c>
      <c r="S59" s="17">
        <v>0.76</v>
      </c>
      <c r="T59" s="18">
        <f t="shared" si="0"/>
        <v>0.49312500000000004</v>
      </c>
    </row>
    <row r="60" spans="2:20" x14ac:dyDescent="0.3">
      <c r="B60" s="7" t="s">
        <v>94</v>
      </c>
      <c r="C60" s="7" t="s">
        <v>349</v>
      </c>
      <c r="D60" s="7">
        <v>0.32</v>
      </c>
      <c r="E60" s="7">
        <v>0</v>
      </c>
      <c r="F60" s="7">
        <v>0</v>
      </c>
      <c r="G60" s="7">
        <v>0.49</v>
      </c>
      <c r="H60" s="7">
        <v>0.47</v>
      </c>
      <c r="I60" s="7">
        <v>0</v>
      </c>
      <c r="J60" s="7">
        <v>0.24</v>
      </c>
      <c r="K60" s="7">
        <v>0.48</v>
      </c>
      <c r="L60" s="7">
        <v>0.7</v>
      </c>
      <c r="M60" s="7">
        <v>0.43</v>
      </c>
      <c r="N60" s="7">
        <v>0.61</v>
      </c>
      <c r="O60" s="7">
        <v>0.01</v>
      </c>
      <c r="P60" s="7">
        <v>0.11</v>
      </c>
      <c r="Q60" s="7">
        <v>0.75</v>
      </c>
      <c r="R60" s="7">
        <v>0.38</v>
      </c>
      <c r="S60" s="17">
        <v>0.69</v>
      </c>
      <c r="T60" s="18">
        <f t="shared" si="0"/>
        <v>0.35499999999999998</v>
      </c>
    </row>
    <row r="61" spans="2:20" x14ac:dyDescent="0.3">
      <c r="B61" s="7" t="s">
        <v>95</v>
      </c>
      <c r="C61" s="7" t="s">
        <v>349</v>
      </c>
      <c r="D61" s="7">
        <v>0.84</v>
      </c>
      <c r="E61" s="7">
        <v>0.93</v>
      </c>
      <c r="F61" s="7">
        <v>0.28999999999999998</v>
      </c>
      <c r="G61" s="7">
        <v>0</v>
      </c>
      <c r="H61" s="7">
        <v>0.89</v>
      </c>
      <c r="I61" s="7">
        <v>0.41</v>
      </c>
      <c r="J61" s="7">
        <v>0.24</v>
      </c>
      <c r="K61" s="7">
        <v>0.73</v>
      </c>
      <c r="L61" s="7">
        <v>0.97</v>
      </c>
      <c r="M61" s="7">
        <v>0.21</v>
      </c>
      <c r="N61" s="7">
        <v>0.85</v>
      </c>
      <c r="O61" s="7">
        <v>0.05</v>
      </c>
      <c r="P61" s="7">
        <v>0.09</v>
      </c>
      <c r="Q61" s="7">
        <v>0.8</v>
      </c>
      <c r="R61" s="7">
        <v>0.8</v>
      </c>
      <c r="S61" s="17">
        <v>0.44</v>
      </c>
      <c r="T61" s="18">
        <f t="shared" si="0"/>
        <v>0.53374999999999995</v>
      </c>
    </row>
    <row r="62" spans="2:20" x14ac:dyDescent="0.3">
      <c r="B62" s="7" t="s">
        <v>96</v>
      </c>
      <c r="C62" s="7" t="s">
        <v>344</v>
      </c>
      <c r="D62" s="7">
        <v>0.81</v>
      </c>
      <c r="E62" s="7">
        <v>0.92</v>
      </c>
      <c r="F62" s="7">
        <v>0.42</v>
      </c>
      <c r="G62" s="7">
        <v>0</v>
      </c>
      <c r="H62" s="7">
        <v>0.05</v>
      </c>
      <c r="I62" s="7">
        <v>0</v>
      </c>
      <c r="J62" s="7">
        <v>0.62</v>
      </c>
      <c r="K62" s="7">
        <v>0</v>
      </c>
      <c r="L62" s="7">
        <v>0.08</v>
      </c>
      <c r="M62" s="7">
        <v>0.17</v>
      </c>
      <c r="N62" s="7">
        <v>0.52</v>
      </c>
      <c r="O62" s="7">
        <v>0.36</v>
      </c>
      <c r="P62" s="7">
        <v>0.57999999999999996</v>
      </c>
      <c r="Q62" s="7">
        <v>0.81</v>
      </c>
      <c r="R62" s="7">
        <v>0.28000000000000003</v>
      </c>
      <c r="S62" s="17">
        <v>0.9</v>
      </c>
      <c r="T62" s="18">
        <f t="shared" si="0"/>
        <v>0.40750000000000003</v>
      </c>
    </row>
    <row r="63" spans="2:20" x14ac:dyDescent="0.3">
      <c r="B63" s="7" t="s">
        <v>97</v>
      </c>
      <c r="C63" s="7" t="s">
        <v>349</v>
      </c>
      <c r="D63" s="7">
        <v>0.89</v>
      </c>
      <c r="E63" s="7">
        <v>0</v>
      </c>
      <c r="F63" s="7">
        <v>0.66</v>
      </c>
      <c r="G63" s="7">
        <v>0.27</v>
      </c>
      <c r="H63" s="7">
        <v>0.82</v>
      </c>
      <c r="I63" s="7">
        <v>0.52</v>
      </c>
      <c r="J63" s="7">
        <v>0.52</v>
      </c>
      <c r="K63" s="7">
        <v>0.46</v>
      </c>
      <c r="L63" s="7">
        <v>0.61</v>
      </c>
      <c r="M63" s="7">
        <v>0.97</v>
      </c>
      <c r="N63" s="7">
        <v>0.09</v>
      </c>
      <c r="O63" s="7">
        <v>0.89</v>
      </c>
      <c r="P63" s="7">
        <v>0.93</v>
      </c>
      <c r="Q63" s="7">
        <v>0.49</v>
      </c>
      <c r="R63" s="7">
        <v>0.01</v>
      </c>
      <c r="S63" s="17">
        <v>0.39</v>
      </c>
      <c r="T63" s="18">
        <f t="shared" si="0"/>
        <v>0.53249999999999997</v>
      </c>
    </row>
    <row r="64" spans="2:20" x14ac:dyDescent="0.3">
      <c r="B64" s="7" t="s">
        <v>98</v>
      </c>
      <c r="C64" s="7" t="s">
        <v>346</v>
      </c>
      <c r="D64" s="7">
        <v>0.08</v>
      </c>
      <c r="E64" s="7">
        <v>0</v>
      </c>
      <c r="F64" s="7">
        <v>0</v>
      </c>
      <c r="G64" s="7">
        <v>0.68</v>
      </c>
      <c r="H64" s="7">
        <v>0.24</v>
      </c>
      <c r="I64" s="7">
        <v>0.55000000000000004</v>
      </c>
      <c r="J64" s="7">
        <v>0.22</v>
      </c>
      <c r="K64" s="7">
        <v>0.16</v>
      </c>
      <c r="L64" s="7">
        <v>0</v>
      </c>
      <c r="M64" s="7">
        <v>0.67</v>
      </c>
      <c r="N64" s="7">
        <v>0.65</v>
      </c>
      <c r="O64" s="7">
        <v>0.86</v>
      </c>
      <c r="P64" s="7">
        <v>0</v>
      </c>
      <c r="Q64" s="7">
        <v>0</v>
      </c>
      <c r="R64" s="7">
        <v>0</v>
      </c>
      <c r="S64" s="17">
        <v>0.12</v>
      </c>
      <c r="T64" s="18">
        <f t="shared" si="0"/>
        <v>0.26437500000000003</v>
      </c>
    </row>
    <row r="65" spans="2:20" x14ac:dyDescent="0.3">
      <c r="B65" s="7" t="s">
        <v>99</v>
      </c>
      <c r="C65" s="7" t="s">
        <v>347</v>
      </c>
      <c r="D65" s="7">
        <v>0.02</v>
      </c>
      <c r="E65" s="7">
        <v>0.85</v>
      </c>
      <c r="F65" s="7">
        <v>1</v>
      </c>
      <c r="G65" s="7">
        <v>0.51</v>
      </c>
      <c r="H65" s="7">
        <v>0.28000000000000003</v>
      </c>
      <c r="I65" s="7">
        <v>0</v>
      </c>
      <c r="J65" s="7">
        <v>0.76</v>
      </c>
      <c r="K65" s="7">
        <v>0.15</v>
      </c>
      <c r="L65" s="7">
        <v>0.77</v>
      </c>
      <c r="M65" s="7">
        <v>0.37</v>
      </c>
      <c r="N65" s="7">
        <v>0.17</v>
      </c>
      <c r="O65" s="7">
        <v>0.28000000000000003</v>
      </c>
      <c r="P65" s="7">
        <v>0.71</v>
      </c>
      <c r="Q65" s="7">
        <v>0.13</v>
      </c>
      <c r="R65" s="7">
        <v>0</v>
      </c>
      <c r="S65" s="17">
        <v>0.99</v>
      </c>
      <c r="T65" s="18">
        <f t="shared" si="0"/>
        <v>0.43687500000000001</v>
      </c>
    </row>
    <row r="66" spans="2:20" x14ac:dyDescent="0.3">
      <c r="B66" s="7" t="s">
        <v>100</v>
      </c>
      <c r="C66" s="7" t="s">
        <v>349</v>
      </c>
      <c r="D66" s="7">
        <v>0.81</v>
      </c>
      <c r="E66" s="7">
        <v>0</v>
      </c>
      <c r="F66" s="7">
        <v>0.49</v>
      </c>
      <c r="G66" s="7">
        <v>0.49</v>
      </c>
      <c r="H66" s="7">
        <v>0.89</v>
      </c>
      <c r="I66" s="7">
        <v>0.79</v>
      </c>
      <c r="J66" s="7">
        <v>0.51</v>
      </c>
      <c r="K66" s="7">
        <v>0</v>
      </c>
      <c r="L66" s="7">
        <v>0.18</v>
      </c>
      <c r="M66" s="7">
        <v>0.98</v>
      </c>
      <c r="N66" s="7">
        <v>0.78</v>
      </c>
      <c r="O66" s="7">
        <v>0.12</v>
      </c>
      <c r="P66" s="7">
        <v>0</v>
      </c>
      <c r="Q66" s="7">
        <v>0.44</v>
      </c>
      <c r="R66" s="7">
        <v>0.47</v>
      </c>
      <c r="S66" s="17">
        <v>0.19</v>
      </c>
      <c r="T66" s="18">
        <f t="shared" si="0"/>
        <v>0.44625000000000009</v>
      </c>
    </row>
    <row r="67" spans="2:20" x14ac:dyDescent="0.3">
      <c r="B67" s="7" t="s">
        <v>101</v>
      </c>
      <c r="C67" s="7" t="s">
        <v>348</v>
      </c>
      <c r="D67" s="7">
        <v>0</v>
      </c>
      <c r="E67" s="7">
        <v>0.31</v>
      </c>
      <c r="F67" s="7">
        <v>0.67</v>
      </c>
      <c r="G67" s="7">
        <v>0.59</v>
      </c>
      <c r="H67" s="7">
        <v>0</v>
      </c>
      <c r="I67" s="7">
        <v>0.42</v>
      </c>
      <c r="J67" s="7">
        <v>0</v>
      </c>
      <c r="K67" s="7">
        <v>0.4</v>
      </c>
      <c r="L67" s="7">
        <v>0.16</v>
      </c>
      <c r="M67" s="7">
        <v>0.53</v>
      </c>
      <c r="N67" s="7">
        <v>0</v>
      </c>
      <c r="O67" s="7">
        <v>0.45</v>
      </c>
      <c r="P67" s="7">
        <v>0.49</v>
      </c>
      <c r="Q67" s="7">
        <v>0.73</v>
      </c>
      <c r="R67" s="7">
        <v>0.36</v>
      </c>
      <c r="S67" s="17">
        <v>0.48</v>
      </c>
      <c r="T67" s="18">
        <f t="shared" si="0"/>
        <v>0.34937499999999999</v>
      </c>
    </row>
    <row r="68" spans="2:20" x14ac:dyDescent="0.3">
      <c r="B68" s="7" t="s">
        <v>102</v>
      </c>
      <c r="C68" s="7" t="s">
        <v>349</v>
      </c>
      <c r="D68" s="7">
        <v>0.64</v>
      </c>
      <c r="E68" s="7">
        <v>0</v>
      </c>
      <c r="F68" s="7">
        <v>0.08</v>
      </c>
      <c r="G68" s="7">
        <v>0.71</v>
      </c>
      <c r="H68" s="7">
        <v>0</v>
      </c>
      <c r="I68" s="7">
        <v>0</v>
      </c>
      <c r="J68" s="7">
        <v>0.79</v>
      </c>
      <c r="K68" s="7">
        <v>0</v>
      </c>
      <c r="L68" s="7">
        <v>0.64</v>
      </c>
      <c r="M68" s="7">
        <v>0</v>
      </c>
      <c r="N68" s="7">
        <v>0.12</v>
      </c>
      <c r="O68" s="7">
        <v>0.68</v>
      </c>
      <c r="P68" s="7">
        <v>0</v>
      </c>
      <c r="Q68" s="7">
        <v>0.46</v>
      </c>
      <c r="R68" s="7">
        <v>0.7</v>
      </c>
      <c r="S68" s="17">
        <v>0.71</v>
      </c>
      <c r="T68" s="18">
        <f t="shared" ref="T68:T131" si="1">AVERAGE(D68:S68)</f>
        <v>0.34562500000000002</v>
      </c>
    </row>
    <row r="69" spans="2:20" x14ac:dyDescent="0.3">
      <c r="B69" s="7" t="s">
        <v>103</v>
      </c>
      <c r="C69" s="7" t="s">
        <v>346</v>
      </c>
      <c r="D69" s="7">
        <v>0.96</v>
      </c>
      <c r="E69" s="7">
        <v>0.72</v>
      </c>
      <c r="F69" s="7">
        <v>0.39</v>
      </c>
      <c r="G69" s="7">
        <v>0</v>
      </c>
      <c r="H69" s="7">
        <v>0.51</v>
      </c>
      <c r="I69" s="7">
        <v>0.44</v>
      </c>
      <c r="J69" s="7">
        <v>0.93</v>
      </c>
      <c r="K69" s="7">
        <v>0.91</v>
      </c>
      <c r="L69" s="7">
        <v>0.5</v>
      </c>
      <c r="M69" s="7">
        <v>0.57999999999999996</v>
      </c>
      <c r="N69" s="7">
        <v>0</v>
      </c>
      <c r="O69" s="7">
        <v>0.19</v>
      </c>
      <c r="P69" s="7">
        <v>0.57999999999999996</v>
      </c>
      <c r="Q69" s="7">
        <v>0</v>
      </c>
      <c r="R69" s="7">
        <v>0.89</v>
      </c>
      <c r="S69" s="17">
        <v>0</v>
      </c>
      <c r="T69" s="18">
        <f t="shared" si="1"/>
        <v>0.47500000000000003</v>
      </c>
    </row>
    <row r="70" spans="2:20" x14ac:dyDescent="0.3">
      <c r="B70" s="7" t="s">
        <v>104</v>
      </c>
      <c r="C70" s="7" t="s">
        <v>344</v>
      </c>
      <c r="D70" s="7">
        <v>0</v>
      </c>
      <c r="E70" s="7">
        <v>0.66</v>
      </c>
      <c r="F70" s="7">
        <v>0.97</v>
      </c>
      <c r="G70" s="7">
        <v>0.75</v>
      </c>
      <c r="H70" s="7">
        <v>7.0000000000000007E-2</v>
      </c>
      <c r="I70" s="7">
        <v>0.49</v>
      </c>
      <c r="J70" s="7">
        <v>0.06</v>
      </c>
      <c r="K70" s="7">
        <v>0.68</v>
      </c>
      <c r="L70" s="7">
        <v>7.0000000000000007E-2</v>
      </c>
      <c r="M70" s="7">
        <v>0.98</v>
      </c>
      <c r="N70" s="7">
        <v>0.06</v>
      </c>
      <c r="O70" s="7">
        <v>0.87</v>
      </c>
      <c r="P70" s="7">
        <v>0.25</v>
      </c>
      <c r="Q70" s="7">
        <v>0.77</v>
      </c>
      <c r="R70" s="7">
        <v>0.83</v>
      </c>
      <c r="S70" s="17">
        <v>0.88</v>
      </c>
      <c r="T70" s="18">
        <f t="shared" si="1"/>
        <v>0.52437500000000004</v>
      </c>
    </row>
    <row r="71" spans="2:20" x14ac:dyDescent="0.3">
      <c r="B71" s="7" t="s">
        <v>105</v>
      </c>
      <c r="C71" s="7" t="s">
        <v>344</v>
      </c>
      <c r="D71" s="7">
        <v>0.42</v>
      </c>
      <c r="E71" s="7">
        <v>0.81</v>
      </c>
      <c r="F71" s="7">
        <v>0.61</v>
      </c>
      <c r="G71" s="7">
        <v>0</v>
      </c>
      <c r="H71" s="7">
        <v>0.55000000000000004</v>
      </c>
      <c r="I71" s="7">
        <v>0</v>
      </c>
      <c r="J71" s="7">
        <v>0.71</v>
      </c>
      <c r="K71" s="7">
        <v>0</v>
      </c>
      <c r="L71" s="7">
        <v>0.2</v>
      </c>
      <c r="M71" s="7">
        <v>0.61</v>
      </c>
      <c r="N71" s="7">
        <v>0.71</v>
      </c>
      <c r="O71" s="7">
        <v>0.17</v>
      </c>
      <c r="P71" s="7">
        <v>0.19</v>
      </c>
      <c r="Q71" s="7">
        <v>0.26</v>
      </c>
      <c r="R71" s="7">
        <v>0.85</v>
      </c>
      <c r="S71" s="17">
        <v>0.45</v>
      </c>
      <c r="T71" s="18">
        <f t="shared" si="1"/>
        <v>0.40874999999999995</v>
      </c>
    </row>
    <row r="72" spans="2:20" x14ac:dyDescent="0.3">
      <c r="B72" s="7" t="s">
        <v>106</v>
      </c>
      <c r="C72" s="7" t="s">
        <v>346</v>
      </c>
      <c r="D72" s="7">
        <v>0.09</v>
      </c>
      <c r="E72" s="7">
        <v>0.88</v>
      </c>
      <c r="F72" s="7">
        <v>0.55000000000000004</v>
      </c>
      <c r="G72" s="7">
        <v>0.06</v>
      </c>
      <c r="H72" s="7">
        <v>0.56000000000000005</v>
      </c>
      <c r="I72" s="7">
        <v>0.99</v>
      </c>
      <c r="J72" s="7">
        <v>0.62</v>
      </c>
      <c r="K72" s="7">
        <v>0.7</v>
      </c>
      <c r="L72" s="7">
        <v>0.57999999999999996</v>
      </c>
      <c r="M72" s="7">
        <v>0.88</v>
      </c>
      <c r="N72" s="7">
        <v>0</v>
      </c>
      <c r="O72" s="7">
        <v>0.55000000000000004</v>
      </c>
      <c r="P72" s="7">
        <v>0</v>
      </c>
      <c r="Q72" s="7">
        <v>0.51</v>
      </c>
      <c r="R72" s="7">
        <v>0.1</v>
      </c>
      <c r="S72" s="17">
        <v>0.37</v>
      </c>
      <c r="T72" s="18">
        <f t="shared" si="1"/>
        <v>0.46499999999999997</v>
      </c>
    </row>
    <row r="73" spans="2:20" x14ac:dyDescent="0.3">
      <c r="B73" s="7" t="s">
        <v>107</v>
      </c>
      <c r="C73" s="7" t="s">
        <v>349</v>
      </c>
      <c r="D73" s="7">
        <v>0.17</v>
      </c>
      <c r="E73" s="7">
        <v>0.86</v>
      </c>
      <c r="F73" s="7">
        <v>0.36</v>
      </c>
      <c r="G73" s="7">
        <v>0.86</v>
      </c>
      <c r="H73" s="7">
        <v>0.28000000000000003</v>
      </c>
      <c r="I73" s="7">
        <v>0.14000000000000001</v>
      </c>
      <c r="J73" s="7">
        <v>0.37</v>
      </c>
      <c r="K73" s="7">
        <v>0.56999999999999995</v>
      </c>
      <c r="L73" s="7">
        <v>0.19</v>
      </c>
      <c r="M73" s="7">
        <v>0.9</v>
      </c>
      <c r="N73" s="7">
        <v>0.3</v>
      </c>
      <c r="O73" s="7">
        <v>0.61</v>
      </c>
      <c r="P73" s="7">
        <v>0</v>
      </c>
      <c r="Q73" s="7">
        <v>0.23</v>
      </c>
      <c r="R73" s="7">
        <v>0.25</v>
      </c>
      <c r="S73" s="17">
        <v>0.97</v>
      </c>
      <c r="T73" s="18">
        <f t="shared" si="1"/>
        <v>0.44125000000000003</v>
      </c>
    </row>
    <row r="74" spans="2:20" x14ac:dyDescent="0.3">
      <c r="B74" s="7" t="s">
        <v>108</v>
      </c>
      <c r="C74" s="7" t="s">
        <v>347</v>
      </c>
      <c r="D74" s="7">
        <v>0</v>
      </c>
      <c r="E74" s="7">
        <v>0.66</v>
      </c>
      <c r="F74" s="7">
        <v>0.75</v>
      </c>
      <c r="G74" s="7">
        <v>0</v>
      </c>
      <c r="H74" s="7">
        <v>0.79</v>
      </c>
      <c r="I74" s="7">
        <v>0.91</v>
      </c>
      <c r="J74" s="7">
        <v>0</v>
      </c>
      <c r="K74" s="7">
        <v>0.46</v>
      </c>
      <c r="L74" s="7">
        <v>0.17</v>
      </c>
      <c r="M74" s="7">
        <v>0.65</v>
      </c>
      <c r="N74" s="7">
        <v>1</v>
      </c>
      <c r="O74" s="7">
        <v>0.84</v>
      </c>
      <c r="P74" s="7">
        <v>0.06</v>
      </c>
      <c r="Q74" s="7">
        <v>0.56000000000000005</v>
      </c>
      <c r="R74" s="7">
        <v>0.46</v>
      </c>
      <c r="S74" s="17">
        <v>0.77</v>
      </c>
      <c r="T74" s="18">
        <f t="shared" si="1"/>
        <v>0.505</v>
      </c>
    </row>
    <row r="75" spans="2:20" x14ac:dyDescent="0.3">
      <c r="B75" s="7" t="s">
        <v>109</v>
      </c>
      <c r="C75" s="7" t="s">
        <v>347</v>
      </c>
      <c r="D75" s="7">
        <v>0.01</v>
      </c>
      <c r="E75" s="7">
        <v>0.18</v>
      </c>
      <c r="F75" s="7">
        <v>0.53</v>
      </c>
      <c r="G75" s="7">
        <v>0.79</v>
      </c>
      <c r="H75" s="7">
        <v>0</v>
      </c>
      <c r="I75" s="7">
        <v>0.57999999999999996</v>
      </c>
      <c r="J75" s="7">
        <v>0.14000000000000001</v>
      </c>
      <c r="K75" s="7">
        <v>0.71</v>
      </c>
      <c r="L75" s="7">
        <v>0.81</v>
      </c>
      <c r="M75" s="7">
        <v>0</v>
      </c>
      <c r="N75" s="7">
        <v>0.93</v>
      </c>
      <c r="O75" s="7">
        <v>0.75</v>
      </c>
      <c r="P75" s="7">
        <v>0.98</v>
      </c>
      <c r="Q75" s="7">
        <v>0.3</v>
      </c>
      <c r="R75" s="7">
        <v>0.13</v>
      </c>
      <c r="S75" s="17">
        <v>0.52</v>
      </c>
      <c r="T75" s="18">
        <f t="shared" si="1"/>
        <v>0.45999999999999996</v>
      </c>
    </row>
    <row r="76" spans="2:20" x14ac:dyDescent="0.3">
      <c r="B76" s="7" t="s">
        <v>110</v>
      </c>
      <c r="C76" s="7" t="s">
        <v>349</v>
      </c>
      <c r="D76" s="7">
        <v>0.39</v>
      </c>
      <c r="E76" s="7">
        <v>0.43</v>
      </c>
      <c r="F76" s="7">
        <v>0.81</v>
      </c>
      <c r="G76" s="7">
        <v>0.55000000000000004</v>
      </c>
      <c r="H76" s="7">
        <v>0.13</v>
      </c>
      <c r="I76" s="7">
        <v>0</v>
      </c>
      <c r="J76" s="7">
        <v>0.14000000000000001</v>
      </c>
      <c r="K76" s="7">
        <v>0.25</v>
      </c>
      <c r="L76" s="7">
        <v>0.32</v>
      </c>
      <c r="M76" s="7">
        <v>0</v>
      </c>
      <c r="N76" s="7">
        <v>0</v>
      </c>
      <c r="O76" s="7">
        <v>0.59</v>
      </c>
      <c r="P76" s="7">
        <v>0.71</v>
      </c>
      <c r="Q76" s="7">
        <v>0.43</v>
      </c>
      <c r="R76" s="7">
        <v>0.91</v>
      </c>
      <c r="S76" s="17">
        <v>0.48</v>
      </c>
      <c r="T76" s="18">
        <f t="shared" si="1"/>
        <v>0.38375000000000004</v>
      </c>
    </row>
    <row r="77" spans="2:20" x14ac:dyDescent="0.3">
      <c r="B77" s="7" t="s">
        <v>111</v>
      </c>
      <c r="C77" s="7" t="s">
        <v>345</v>
      </c>
      <c r="D77" s="7">
        <v>0</v>
      </c>
      <c r="E77" s="7">
        <v>0</v>
      </c>
      <c r="F77" s="7">
        <v>0.46</v>
      </c>
      <c r="G77" s="7">
        <v>0.01</v>
      </c>
      <c r="H77" s="7">
        <v>0.8</v>
      </c>
      <c r="I77" s="7">
        <v>0.99</v>
      </c>
      <c r="J77" s="7">
        <v>0</v>
      </c>
      <c r="K77" s="7">
        <v>0.77</v>
      </c>
      <c r="L77" s="7">
        <v>0.78</v>
      </c>
      <c r="M77" s="7">
        <v>0.15</v>
      </c>
      <c r="N77" s="7">
        <v>0.02</v>
      </c>
      <c r="O77" s="7">
        <v>0.36</v>
      </c>
      <c r="P77" s="7">
        <v>0.25</v>
      </c>
      <c r="Q77" s="7">
        <v>0</v>
      </c>
      <c r="R77" s="7">
        <v>0.67</v>
      </c>
      <c r="S77" s="17">
        <v>0.95</v>
      </c>
      <c r="T77" s="18">
        <f t="shared" si="1"/>
        <v>0.388125</v>
      </c>
    </row>
    <row r="78" spans="2:20" x14ac:dyDescent="0.3">
      <c r="B78" s="7" t="s">
        <v>112</v>
      </c>
      <c r="C78" s="7" t="s">
        <v>344</v>
      </c>
      <c r="D78" s="7">
        <v>0.18</v>
      </c>
      <c r="E78" s="7">
        <v>0.37</v>
      </c>
      <c r="F78" s="7">
        <v>0</v>
      </c>
      <c r="G78" s="7">
        <v>0</v>
      </c>
      <c r="H78" s="7">
        <v>0.1</v>
      </c>
      <c r="I78" s="7">
        <v>0.3</v>
      </c>
      <c r="J78" s="7">
        <v>0.91</v>
      </c>
      <c r="K78" s="7">
        <v>0.94</v>
      </c>
      <c r="L78" s="7">
        <v>0.31</v>
      </c>
      <c r="M78" s="7">
        <v>0</v>
      </c>
      <c r="N78" s="7">
        <v>0.36</v>
      </c>
      <c r="O78" s="7">
        <v>0.27</v>
      </c>
      <c r="P78" s="7">
        <v>0.11</v>
      </c>
      <c r="Q78" s="7">
        <v>0</v>
      </c>
      <c r="R78" s="7">
        <v>0.93</v>
      </c>
      <c r="S78" s="17">
        <v>0.49</v>
      </c>
      <c r="T78" s="18">
        <f t="shared" si="1"/>
        <v>0.32937499999999997</v>
      </c>
    </row>
    <row r="79" spans="2:20" x14ac:dyDescent="0.3">
      <c r="B79" s="7" t="s">
        <v>113</v>
      </c>
      <c r="C79" s="7" t="s">
        <v>346</v>
      </c>
      <c r="D79" s="7">
        <v>0.82</v>
      </c>
      <c r="E79" s="7">
        <v>0.61</v>
      </c>
      <c r="F79" s="7">
        <v>0.19</v>
      </c>
      <c r="G79" s="7">
        <v>7.0000000000000007E-2</v>
      </c>
      <c r="H79" s="7">
        <v>0</v>
      </c>
      <c r="I79" s="7">
        <v>0.03</v>
      </c>
      <c r="J79" s="7">
        <v>0.46</v>
      </c>
      <c r="K79" s="7">
        <v>0.35</v>
      </c>
      <c r="L79" s="7">
        <v>0.98</v>
      </c>
      <c r="M79" s="7">
        <v>0.81</v>
      </c>
      <c r="N79" s="7">
        <v>0.18</v>
      </c>
      <c r="O79" s="7">
        <v>0.45</v>
      </c>
      <c r="P79" s="7">
        <v>0.09</v>
      </c>
      <c r="Q79" s="7">
        <v>0.06</v>
      </c>
      <c r="R79" s="7">
        <v>0.47</v>
      </c>
      <c r="S79" s="17">
        <v>0.48</v>
      </c>
      <c r="T79" s="18">
        <f t="shared" si="1"/>
        <v>0.37812499999999993</v>
      </c>
    </row>
    <row r="80" spans="2:20" x14ac:dyDescent="0.3">
      <c r="B80" s="7" t="s">
        <v>114</v>
      </c>
      <c r="C80" s="7" t="s">
        <v>345</v>
      </c>
      <c r="D80" s="7">
        <v>0.23</v>
      </c>
      <c r="E80" s="7">
        <v>0.03</v>
      </c>
      <c r="F80" s="7">
        <v>0.73</v>
      </c>
      <c r="G80" s="7">
        <v>7.0000000000000007E-2</v>
      </c>
      <c r="H80" s="7">
        <v>0.97</v>
      </c>
      <c r="I80" s="7">
        <v>0.2</v>
      </c>
      <c r="J80" s="7">
        <v>0.57999999999999996</v>
      </c>
      <c r="K80" s="7">
        <v>0.12</v>
      </c>
      <c r="L80" s="7">
        <v>0.54</v>
      </c>
      <c r="M80" s="7">
        <v>0</v>
      </c>
      <c r="N80" s="7">
        <v>0.45</v>
      </c>
      <c r="O80" s="7">
        <v>0.78</v>
      </c>
      <c r="P80" s="7">
        <v>0</v>
      </c>
      <c r="Q80" s="7">
        <v>0.92</v>
      </c>
      <c r="R80" s="7">
        <v>0.71</v>
      </c>
      <c r="S80" s="17">
        <v>0.51</v>
      </c>
      <c r="T80" s="18">
        <f t="shared" si="1"/>
        <v>0.42750000000000005</v>
      </c>
    </row>
    <row r="81" spans="2:20" x14ac:dyDescent="0.3">
      <c r="B81" s="7" t="s">
        <v>115</v>
      </c>
      <c r="C81" s="7" t="s">
        <v>345</v>
      </c>
      <c r="D81" s="7">
        <v>0.51</v>
      </c>
      <c r="E81" s="7">
        <v>0</v>
      </c>
      <c r="F81" s="7">
        <v>0.16</v>
      </c>
      <c r="G81" s="7">
        <v>0.78</v>
      </c>
      <c r="H81" s="7">
        <v>0.47</v>
      </c>
      <c r="I81" s="7">
        <v>0.45</v>
      </c>
      <c r="J81" s="7">
        <v>0.52</v>
      </c>
      <c r="K81" s="7">
        <v>0.98</v>
      </c>
      <c r="L81" s="7">
        <v>0.86</v>
      </c>
      <c r="M81" s="7">
        <v>0.82</v>
      </c>
      <c r="N81" s="7">
        <v>0.44</v>
      </c>
      <c r="O81" s="7">
        <v>0.36</v>
      </c>
      <c r="P81" s="7">
        <v>0</v>
      </c>
      <c r="Q81" s="7">
        <v>0.9</v>
      </c>
      <c r="R81" s="7">
        <v>0</v>
      </c>
      <c r="S81" s="17">
        <v>0.57999999999999996</v>
      </c>
      <c r="T81" s="18">
        <f t="shared" si="1"/>
        <v>0.48937500000000012</v>
      </c>
    </row>
    <row r="82" spans="2:20" x14ac:dyDescent="0.3">
      <c r="B82" s="7" t="s">
        <v>116</v>
      </c>
      <c r="C82" s="7" t="s">
        <v>348</v>
      </c>
      <c r="D82" s="7">
        <v>0.19</v>
      </c>
      <c r="E82" s="7">
        <v>0.28999999999999998</v>
      </c>
      <c r="F82" s="7">
        <v>0.62</v>
      </c>
      <c r="G82" s="7">
        <v>0.76</v>
      </c>
      <c r="H82" s="7">
        <v>0</v>
      </c>
      <c r="I82" s="7">
        <v>0.13</v>
      </c>
      <c r="J82" s="7">
        <v>0.84</v>
      </c>
      <c r="K82" s="7">
        <v>0.22</v>
      </c>
      <c r="L82" s="7">
        <v>0.64</v>
      </c>
      <c r="M82" s="7">
        <v>0.2</v>
      </c>
      <c r="N82" s="7">
        <v>0.46</v>
      </c>
      <c r="O82" s="7">
        <v>0.91</v>
      </c>
      <c r="P82" s="7">
        <v>0.81</v>
      </c>
      <c r="Q82" s="7">
        <v>0.14000000000000001</v>
      </c>
      <c r="R82" s="7">
        <v>0.11</v>
      </c>
      <c r="S82" s="17">
        <v>0.35</v>
      </c>
      <c r="T82" s="18">
        <f t="shared" si="1"/>
        <v>0.416875</v>
      </c>
    </row>
    <row r="83" spans="2:20" x14ac:dyDescent="0.3">
      <c r="B83" s="7" t="s">
        <v>117</v>
      </c>
      <c r="C83" s="7" t="s">
        <v>348</v>
      </c>
      <c r="D83" s="7">
        <v>0.1</v>
      </c>
      <c r="E83" s="7">
        <v>0.65</v>
      </c>
      <c r="F83" s="7">
        <v>0</v>
      </c>
      <c r="G83" s="7">
        <v>0.67</v>
      </c>
      <c r="H83" s="7">
        <v>0.23</v>
      </c>
      <c r="I83" s="7">
        <v>0</v>
      </c>
      <c r="J83" s="7">
        <v>0.05</v>
      </c>
      <c r="K83" s="7">
        <v>0.91</v>
      </c>
      <c r="L83" s="7">
        <v>0.74</v>
      </c>
      <c r="M83" s="7">
        <v>0.49</v>
      </c>
      <c r="N83" s="7">
        <v>0.42</v>
      </c>
      <c r="O83" s="7">
        <v>0</v>
      </c>
      <c r="P83" s="7">
        <v>0.25</v>
      </c>
      <c r="Q83" s="7">
        <v>0.39</v>
      </c>
      <c r="R83" s="7">
        <v>0.34</v>
      </c>
      <c r="S83" s="17">
        <v>0.54</v>
      </c>
      <c r="T83" s="18">
        <f t="shared" si="1"/>
        <v>0.36124999999999996</v>
      </c>
    </row>
    <row r="84" spans="2:20" x14ac:dyDescent="0.3">
      <c r="B84" s="7" t="s">
        <v>118</v>
      </c>
      <c r="C84" s="7" t="s">
        <v>347</v>
      </c>
      <c r="D84" s="7">
        <v>0.64</v>
      </c>
      <c r="E84" s="7">
        <v>0.13</v>
      </c>
      <c r="F84" s="7">
        <v>0</v>
      </c>
      <c r="G84" s="7">
        <v>0.44</v>
      </c>
      <c r="H84" s="7">
        <v>0</v>
      </c>
      <c r="I84" s="7">
        <v>0</v>
      </c>
      <c r="J84" s="7">
        <v>0.99</v>
      </c>
      <c r="K84" s="7">
        <v>0</v>
      </c>
      <c r="L84" s="7">
        <v>0.92</v>
      </c>
      <c r="M84" s="7">
        <v>0.06</v>
      </c>
      <c r="N84" s="7">
        <v>0.45</v>
      </c>
      <c r="O84" s="7">
        <v>0.91</v>
      </c>
      <c r="P84" s="7">
        <v>0</v>
      </c>
      <c r="Q84" s="7">
        <v>0.39</v>
      </c>
      <c r="R84" s="7">
        <v>0.3</v>
      </c>
      <c r="S84" s="17">
        <v>0.04</v>
      </c>
      <c r="T84" s="18">
        <f t="shared" si="1"/>
        <v>0.32937499999999997</v>
      </c>
    </row>
    <row r="85" spans="2:20" x14ac:dyDescent="0.3">
      <c r="B85" s="7" t="s">
        <v>119</v>
      </c>
      <c r="C85" s="7" t="s">
        <v>345</v>
      </c>
      <c r="D85" s="7">
        <v>0.9</v>
      </c>
      <c r="E85" s="7">
        <v>0.25</v>
      </c>
      <c r="F85" s="7">
        <v>0.03</v>
      </c>
      <c r="G85" s="7">
        <v>0.17</v>
      </c>
      <c r="H85" s="7">
        <v>0.53</v>
      </c>
      <c r="I85" s="7">
        <v>0.94</v>
      </c>
      <c r="J85" s="7">
        <v>0.75</v>
      </c>
      <c r="K85" s="7">
        <v>0.56999999999999995</v>
      </c>
      <c r="L85" s="7">
        <v>0.96</v>
      </c>
      <c r="M85" s="7">
        <v>0.79</v>
      </c>
      <c r="N85" s="7">
        <v>0</v>
      </c>
      <c r="O85" s="7">
        <v>0</v>
      </c>
      <c r="P85" s="7">
        <v>0</v>
      </c>
      <c r="Q85" s="7">
        <v>0</v>
      </c>
      <c r="R85" s="7">
        <v>0.78</v>
      </c>
      <c r="S85" s="17">
        <v>0</v>
      </c>
      <c r="T85" s="18">
        <f t="shared" si="1"/>
        <v>0.416875</v>
      </c>
    </row>
    <row r="86" spans="2:20" x14ac:dyDescent="0.3">
      <c r="B86" s="7" t="s">
        <v>120</v>
      </c>
      <c r="C86" s="7" t="s">
        <v>347</v>
      </c>
      <c r="D86" s="7">
        <v>0.67</v>
      </c>
      <c r="E86" s="7">
        <v>0.03</v>
      </c>
      <c r="F86" s="7">
        <v>0.54</v>
      </c>
      <c r="G86" s="7">
        <v>0.01</v>
      </c>
      <c r="H86" s="7">
        <v>0.41</v>
      </c>
      <c r="I86" s="7">
        <v>0.66</v>
      </c>
      <c r="J86" s="7">
        <v>0.46</v>
      </c>
      <c r="K86" s="7">
        <v>0.31</v>
      </c>
      <c r="L86" s="7">
        <v>0.12</v>
      </c>
      <c r="M86" s="7">
        <v>0</v>
      </c>
      <c r="N86" s="7">
        <v>0.21</v>
      </c>
      <c r="O86" s="7">
        <v>0.88</v>
      </c>
      <c r="P86" s="7">
        <v>0</v>
      </c>
      <c r="Q86" s="7">
        <v>0.81</v>
      </c>
      <c r="R86" s="7">
        <v>0</v>
      </c>
      <c r="S86" s="17">
        <v>0</v>
      </c>
      <c r="T86" s="18">
        <f t="shared" si="1"/>
        <v>0.31937500000000008</v>
      </c>
    </row>
    <row r="87" spans="2:20" x14ac:dyDescent="0.3">
      <c r="B87" s="7" t="s">
        <v>121</v>
      </c>
      <c r="C87" s="7" t="s">
        <v>349</v>
      </c>
      <c r="D87" s="7">
        <v>0.57999999999999996</v>
      </c>
      <c r="E87" s="7">
        <v>0.62</v>
      </c>
      <c r="F87" s="7">
        <v>0</v>
      </c>
      <c r="G87" s="7">
        <v>0.17</v>
      </c>
      <c r="H87" s="7">
        <v>0.76</v>
      </c>
      <c r="I87" s="7">
        <v>0.28000000000000003</v>
      </c>
      <c r="J87" s="7">
        <v>0.42</v>
      </c>
      <c r="K87" s="7">
        <v>0.82</v>
      </c>
      <c r="L87" s="7">
        <v>0</v>
      </c>
      <c r="M87" s="7">
        <v>0.31</v>
      </c>
      <c r="N87" s="7">
        <v>0</v>
      </c>
      <c r="O87" s="7">
        <v>0.35</v>
      </c>
      <c r="P87" s="7">
        <v>0.92</v>
      </c>
      <c r="Q87" s="7">
        <v>0.52</v>
      </c>
      <c r="R87" s="7">
        <v>0.76</v>
      </c>
      <c r="S87" s="17">
        <v>0.21</v>
      </c>
      <c r="T87" s="18">
        <f t="shared" si="1"/>
        <v>0.42</v>
      </c>
    </row>
    <row r="88" spans="2:20" x14ac:dyDescent="0.3">
      <c r="B88" s="7" t="s">
        <v>122</v>
      </c>
      <c r="C88" s="7" t="s">
        <v>345</v>
      </c>
      <c r="D88" s="7">
        <v>0.82</v>
      </c>
      <c r="E88" s="7">
        <v>0.51</v>
      </c>
      <c r="F88" s="7">
        <v>0.28000000000000003</v>
      </c>
      <c r="G88" s="7">
        <v>1</v>
      </c>
      <c r="H88" s="7">
        <v>0.63</v>
      </c>
      <c r="I88" s="7">
        <v>0.23</v>
      </c>
      <c r="J88" s="7">
        <v>0.18</v>
      </c>
      <c r="K88" s="7">
        <v>0.42</v>
      </c>
      <c r="L88" s="7">
        <v>0.77</v>
      </c>
      <c r="M88" s="7">
        <v>0.44</v>
      </c>
      <c r="N88" s="7">
        <v>0.3</v>
      </c>
      <c r="O88" s="7">
        <v>0</v>
      </c>
      <c r="P88" s="7">
        <v>0.06</v>
      </c>
      <c r="Q88" s="7">
        <v>0.84</v>
      </c>
      <c r="R88" s="7">
        <v>0.65</v>
      </c>
      <c r="S88" s="17">
        <v>0</v>
      </c>
      <c r="T88" s="18">
        <f t="shared" si="1"/>
        <v>0.44562499999999999</v>
      </c>
    </row>
    <row r="89" spans="2:20" x14ac:dyDescent="0.3">
      <c r="B89" s="7" t="s">
        <v>123</v>
      </c>
      <c r="C89" s="7" t="s">
        <v>349</v>
      </c>
      <c r="D89" s="7">
        <v>0.91</v>
      </c>
      <c r="E89" s="7">
        <v>0.36</v>
      </c>
      <c r="F89" s="7">
        <v>0.45</v>
      </c>
      <c r="G89" s="7">
        <v>0</v>
      </c>
      <c r="H89" s="7">
        <v>0.9</v>
      </c>
      <c r="I89" s="7">
        <v>0.53</v>
      </c>
      <c r="J89" s="7">
        <v>0.06</v>
      </c>
      <c r="K89" s="7">
        <v>0.46</v>
      </c>
      <c r="L89" s="7">
        <v>0</v>
      </c>
      <c r="M89" s="7">
        <v>0</v>
      </c>
      <c r="N89" s="7">
        <v>0.56000000000000005</v>
      </c>
      <c r="O89" s="7">
        <v>0.4</v>
      </c>
      <c r="P89" s="7">
        <v>0.02</v>
      </c>
      <c r="Q89" s="7">
        <v>0.24</v>
      </c>
      <c r="R89" s="7">
        <v>0</v>
      </c>
      <c r="S89" s="17">
        <v>0.9</v>
      </c>
      <c r="T89" s="18">
        <f t="shared" si="1"/>
        <v>0.36187500000000006</v>
      </c>
    </row>
    <row r="90" spans="2:20" x14ac:dyDescent="0.3">
      <c r="B90" s="7" t="s">
        <v>124</v>
      </c>
      <c r="C90" s="7" t="s">
        <v>349</v>
      </c>
      <c r="D90" s="7">
        <v>0.43</v>
      </c>
      <c r="E90" s="7">
        <v>0.2</v>
      </c>
      <c r="F90" s="7">
        <v>0.8</v>
      </c>
      <c r="G90" s="7">
        <v>0</v>
      </c>
      <c r="H90" s="7">
        <v>0.6</v>
      </c>
      <c r="I90" s="7">
        <v>0.51</v>
      </c>
      <c r="J90" s="7">
        <v>0.01</v>
      </c>
      <c r="K90" s="7">
        <v>0.26</v>
      </c>
      <c r="L90" s="7">
        <v>0.26</v>
      </c>
      <c r="M90" s="7">
        <v>1</v>
      </c>
      <c r="N90" s="7">
        <v>0</v>
      </c>
      <c r="O90" s="7">
        <v>0.28000000000000003</v>
      </c>
      <c r="P90" s="7">
        <v>0.3</v>
      </c>
      <c r="Q90" s="7">
        <v>0</v>
      </c>
      <c r="R90" s="7">
        <v>0</v>
      </c>
      <c r="S90" s="17">
        <v>7.0000000000000007E-2</v>
      </c>
      <c r="T90" s="18">
        <f t="shared" si="1"/>
        <v>0.29499999999999998</v>
      </c>
    </row>
    <row r="91" spans="2:20" x14ac:dyDescent="0.3">
      <c r="B91" s="7" t="s">
        <v>125</v>
      </c>
      <c r="C91" s="7" t="s">
        <v>349</v>
      </c>
      <c r="D91" s="7">
        <v>0.45</v>
      </c>
      <c r="E91" s="7">
        <v>0.22</v>
      </c>
      <c r="F91" s="7">
        <v>0</v>
      </c>
      <c r="G91" s="7">
        <v>0</v>
      </c>
      <c r="H91" s="7">
        <v>0.12</v>
      </c>
      <c r="I91" s="7">
        <v>0.57999999999999996</v>
      </c>
      <c r="J91" s="7">
        <v>0.13</v>
      </c>
      <c r="K91" s="7">
        <v>0.62</v>
      </c>
      <c r="L91" s="7">
        <v>0.75</v>
      </c>
      <c r="M91" s="7">
        <v>0.11</v>
      </c>
      <c r="N91" s="7">
        <v>0.18</v>
      </c>
      <c r="O91" s="7">
        <v>0.19</v>
      </c>
      <c r="P91" s="7">
        <v>0.77</v>
      </c>
      <c r="Q91" s="7">
        <v>0.59</v>
      </c>
      <c r="R91" s="7">
        <v>0.54</v>
      </c>
      <c r="S91" s="17">
        <v>0.61</v>
      </c>
      <c r="T91" s="18">
        <f t="shared" si="1"/>
        <v>0.36625000000000002</v>
      </c>
    </row>
    <row r="92" spans="2:20" x14ac:dyDescent="0.3">
      <c r="B92" s="7" t="s">
        <v>126</v>
      </c>
      <c r="C92" s="7" t="s">
        <v>344</v>
      </c>
      <c r="D92" s="7">
        <v>0</v>
      </c>
      <c r="E92" s="7">
        <v>0.56000000000000005</v>
      </c>
      <c r="F92" s="7">
        <v>0.21</v>
      </c>
      <c r="G92" s="7">
        <v>0.42</v>
      </c>
      <c r="H92" s="7">
        <v>0.24</v>
      </c>
      <c r="I92" s="7">
        <v>0</v>
      </c>
      <c r="J92" s="7">
        <v>0.62</v>
      </c>
      <c r="K92" s="7">
        <v>0.98</v>
      </c>
      <c r="L92" s="7">
        <v>0.69</v>
      </c>
      <c r="M92" s="7">
        <v>0.02</v>
      </c>
      <c r="N92" s="7">
        <v>0</v>
      </c>
      <c r="O92" s="7">
        <v>0.45</v>
      </c>
      <c r="P92" s="7">
        <v>0.32</v>
      </c>
      <c r="Q92" s="7">
        <v>0.28999999999999998</v>
      </c>
      <c r="R92" s="7">
        <v>0</v>
      </c>
      <c r="S92" s="17">
        <v>1</v>
      </c>
      <c r="T92" s="18">
        <f t="shared" si="1"/>
        <v>0.36249999999999999</v>
      </c>
    </row>
    <row r="93" spans="2:20" x14ac:dyDescent="0.3">
      <c r="B93" s="7" t="s">
        <v>127</v>
      </c>
      <c r="C93" s="7" t="s">
        <v>344</v>
      </c>
      <c r="D93" s="7">
        <v>0.56000000000000005</v>
      </c>
      <c r="E93" s="7">
        <v>0.71</v>
      </c>
      <c r="F93" s="7">
        <v>0.08</v>
      </c>
      <c r="G93" s="7">
        <v>0.77</v>
      </c>
      <c r="H93" s="7">
        <v>0.49</v>
      </c>
      <c r="I93" s="7">
        <v>0.74</v>
      </c>
      <c r="J93" s="7">
        <v>0</v>
      </c>
      <c r="K93" s="7">
        <v>0.59</v>
      </c>
      <c r="L93" s="7">
        <v>0.44</v>
      </c>
      <c r="M93" s="7">
        <v>0.61</v>
      </c>
      <c r="N93" s="7">
        <v>0</v>
      </c>
      <c r="O93" s="7">
        <v>0.27</v>
      </c>
      <c r="P93" s="7">
        <v>0.36</v>
      </c>
      <c r="Q93" s="7">
        <v>0.57999999999999996</v>
      </c>
      <c r="R93" s="7">
        <v>0.08</v>
      </c>
      <c r="S93" s="17">
        <v>0.77</v>
      </c>
      <c r="T93" s="18">
        <f t="shared" si="1"/>
        <v>0.44062500000000016</v>
      </c>
    </row>
    <row r="94" spans="2:20" x14ac:dyDescent="0.3">
      <c r="B94" s="7" t="s">
        <v>128</v>
      </c>
      <c r="C94" s="7" t="s">
        <v>349</v>
      </c>
      <c r="D94" s="7">
        <v>0.88</v>
      </c>
      <c r="E94" s="7">
        <v>0.71</v>
      </c>
      <c r="F94" s="7">
        <v>0.18</v>
      </c>
      <c r="G94" s="7">
        <v>0</v>
      </c>
      <c r="H94" s="7">
        <v>0.08</v>
      </c>
      <c r="I94" s="7">
        <v>0.39</v>
      </c>
      <c r="J94" s="7">
        <v>0.41</v>
      </c>
      <c r="K94" s="7">
        <v>0.59</v>
      </c>
      <c r="L94" s="7">
        <v>0.01</v>
      </c>
      <c r="M94" s="7">
        <v>0.18</v>
      </c>
      <c r="N94" s="7">
        <v>0.89</v>
      </c>
      <c r="O94" s="7">
        <v>0.64</v>
      </c>
      <c r="P94" s="7">
        <v>0.1</v>
      </c>
      <c r="Q94" s="7">
        <v>0.75</v>
      </c>
      <c r="R94" s="7">
        <v>0.63</v>
      </c>
      <c r="S94" s="17">
        <v>0</v>
      </c>
      <c r="T94" s="18">
        <f t="shared" si="1"/>
        <v>0.40249999999999991</v>
      </c>
    </row>
    <row r="95" spans="2:20" x14ac:dyDescent="0.3">
      <c r="B95" s="7" t="s">
        <v>129</v>
      </c>
      <c r="C95" s="7" t="s">
        <v>349</v>
      </c>
      <c r="D95" s="7">
        <v>0</v>
      </c>
      <c r="E95" s="7">
        <v>0.19</v>
      </c>
      <c r="F95" s="7">
        <v>0.2</v>
      </c>
      <c r="G95" s="7">
        <v>0</v>
      </c>
      <c r="H95" s="7">
        <v>0</v>
      </c>
      <c r="I95" s="7">
        <v>0</v>
      </c>
      <c r="J95" s="7">
        <v>0.24</v>
      </c>
      <c r="K95" s="7">
        <v>0.38</v>
      </c>
      <c r="L95" s="7">
        <v>0.43</v>
      </c>
      <c r="M95" s="7">
        <v>0.5</v>
      </c>
      <c r="N95" s="7">
        <v>0</v>
      </c>
      <c r="O95" s="7">
        <v>0.48</v>
      </c>
      <c r="P95" s="7">
        <v>0.8</v>
      </c>
      <c r="Q95" s="7">
        <v>0.13</v>
      </c>
      <c r="R95" s="7">
        <v>0.01</v>
      </c>
      <c r="S95" s="17">
        <v>0</v>
      </c>
      <c r="T95" s="18">
        <f t="shared" si="1"/>
        <v>0.20999999999999996</v>
      </c>
    </row>
    <row r="96" spans="2:20" x14ac:dyDescent="0.3">
      <c r="B96" s="7" t="s">
        <v>130</v>
      </c>
      <c r="C96" s="7" t="s">
        <v>347</v>
      </c>
      <c r="D96" s="7">
        <v>0.89</v>
      </c>
      <c r="E96" s="7">
        <v>0.66</v>
      </c>
      <c r="F96" s="7">
        <v>0</v>
      </c>
      <c r="G96" s="7">
        <v>0.18</v>
      </c>
      <c r="H96" s="7">
        <v>0</v>
      </c>
      <c r="I96" s="7">
        <v>0.51</v>
      </c>
      <c r="J96" s="7">
        <v>0.68</v>
      </c>
      <c r="K96" s="7">
        <v>0.61</v>
      </c>
      <c r="L96" s="7">
        <v>0.81</v>
      </c>
      <c r="M96" s="7">
        <v>0</v>
      </c>
      <c r="N96" s="7">
        <v>0.06</v>
      </c>
      <c r="O96" s="7">
        <v>0.27</v>
      </c>
      <c r="P96" s="7">
        <v>0.76</v>
      </c>
      <c r="Q96" s="7">
        <v>0.82</v>
      </c>
      <c r="R96" s="7">
        <v>0.99</v>
      </c>
      <c r="S96" s="17">
        <v>0</v>
      </c>
      <c r="T96" s="18">
        <f t="shared" si="1"/>
        <v>0.45250000000000001</v>
      </c>
    </row>
    <row r="97" spans="2:20" x14ac:dyDescent="0.3">
      <c r="B97" s="7" t="s">
        <v>131</v>
      </c>
      <c r="C97" s="7" t="s">
        <v>345</v>
      </c>
      <c r="D97" s="7">
        <v>0</v>
      </c>
      <c r="E97" s="7">
        <v>0.97</v>
      </c>
      <c r="F97" s="7">
        <v>0.75</v>
      </c>
      <c r="G97" s="7">
        <v>0.56000000000000005</v>
      </c>
      <c r="H97" s="7">
        <v>0.94</v>
      </c>
      <c r="I97" s="7">
        <v>0.18</v>
      </c>
      <c r="J97" s="7">
        <v>0.85</v>
      </c>
      <c r="K97" s="7">
        <v>0.86</v>
      </c>
      <c r="L97" s="7">
        <v>0.02</v>
      </c>
      <c r="M97" s="7">
        <v>0.54</v>
      </c>
      <c r="N97" s="7">
        <v>0</v>
      </c>
      <c r="O97" s="7">
        <v>0.21</v>
      </c>
      <c r="P97" s="7">
        <v>0.13</v>
      </c>
      <c r="Q97" s="7">
        <v>0.15</v>
      </c>
      <c r="R97" s="7">
        <v>0</v>
      </c>
      <c r="S97" s="17">
        <v>0.42</v>
      </c>
      <c r="T97" s="18">
        <f t="shared" si="1"/>
        <v>0.41125</v>
      </c>
    </row>
    <row r="98" spans="2:20" x14ac:dyDescent="0.3">
      <c r="B98" s="7" t="s">
        <v>132</v>
      </c>
      <c r="C98" s="7" t="s">
        <v>347</v>
      </c>
      <c r="D98" s="7">
        <v>0</v>
      </c>
      <c r="E98" s="7">
        <v>0</v>
      </c>
      <c r="F98" s="7">
        <v>0.08</v>
      </c>
      <c r="G98" s="7">
        <v>0.3</v>
      </c>
      <c r="H98" s="7">
        <v>0</v>
      </c>
      <c r="I98" s="7">
        <v>0</v>
      </c>
      <c r="J98" s="7">
        <v>0.41</v>
      </c>
      <c r="K98" s="7">
        <v>0</v>
      </c>
      <c r="L98" s="7">
        <v>0.26</v>
      </c>
      <c r="M98" s="7">
        <v>0.12</v>
      </c>
      <c r="N98" s="7">
        <v>0.25</v>
      </c>
      <c r="O98" s="7">
        <v>0.15</v>
      </c>
      <c r="P98" s="7">
        <v>0</v>
      </c>
      <c r="Q98" s="7">
        <v>0</v>
      </c>
      <c r="R98" s="7">
        <v>0</v>
      </c>
      <c r="S98" s="17">
        <v>0.91</v>
      </c>
      <c r="T98" s="18">
        <f t="shared" si="1"/>
        <v>0.155</v>
      </c>
    </row>
    <row r="99" spans="2:20" x14ac:dyDescent="0.3">
      <c r="B99" s="7" t="s">
        <v>133</v>
      </c>
      <c r="C99" s="7" t="s">
        <v>348</v>
      </c>
      <c r="D99" s="7">
        <v>0.74</v>
      </c>
      <c r="E99" s="7">
        <v>0.93</v>
      </c>
      <c r="F99" s="7">
        <v>0.93</v>
      </c>
      <c r="G99" s="7">
        <v>0</v>
      </c>
      <c r="H99" s="7">
        <v>0.76</v>
      </c>
      <c r="I99" s="7">
        <v>0.68</v>
      </c>
      <c r="J99" s="7">
        <v>0.44</v>
      </c>
      <c r="K99" s="7">
        <v>0.48</v>
      </c>
      <c r="L99" s="7">
        <v>0.93</v>
      </c>
      <c r="M99" s="7">
        <v>0.23</v>
      </c>
      <c r="N99" s="7">
        <v>0.23</v>
      </c>
      <c r="O99" s="7">
        <v>0.83</v>
      </c>
      <c r="P99" s="7">
        <v>0.65</v>
      </c>
      <c r="Q99" s="7">
        <v>0</v>
      </c>
      <c r="R99" s="7">
        <v>0.9</v>
      </c>
      <c r="S99" s="17">
        <v>0.9</v>
      </c>
      <c r="T99" s="18">
        <f t="shared" si="1"/>
        <v>0.60187500000000016</v>
      </c>
    </row>
    <row r="100" spans="2:20" x14ac:dyDescent="0.3">
      <c r="B100" s="7" t="s">
        <v>134</v>
      </c>
      <c r="C100" s="7" t="s">
        <v>345</v>
      </c>
      <c r="D100" s="7">
        <v>0.54</v>
      </c>
      <c r="E100" s="7">
        <v>0.11</v>
      </c>
      <c r="F100" s="7">
        <v>0.76</v>
      </c>
      <c r="G100" s="7">
        <v>0.34</v>
      </c>
      <c r="H100" s="7">
        <v>0.42</v>
      </c>
      <c r="I100" s="7">
        <v>0</v>
      </c>
      <c r="J100" s="7">
        <v>0.59</v>
      </c>
      <c r="K100" s="7">
        <v>0.09</v>
      </c>
      <c r="L100" s="7">
        <v>0</v>
      </c>
      <c r="M100" s="7">
        <v>0.13</v>
      </c>
      <c r="N100" s="7">
        <v>0</v>
      </c>
      <c r="O100" s="7">
        <v>0.67</v>
      </c>
      <c r="P100" s="7">
        <v>0.69</v>
      </c>
      <c r="Q100" s="7">
        <v>0.7</v>
      </c>
      <c r="R100" s="7">
        <v>0.99</v>
      </c>
      <c r="S100" s="17">
        <v>0.13</v>
      </c>
      <c r="T100" s="18">
        <f t="shared" si="1"/>
        <v>0.38500000000000001</v>
      </c>
    </row>
    <row r="101" spans="2:20" x14ac:dyDescent="0.3">
      <c r="B101" s="7" t="s">
        <v>135</v>
      </c>
      <c r="C101" s="7" t="s">
        <v>347</v>
      </c>
      <c r="D101" s="7">
        <v>0</v>
      </c>
      <c r="E101" s="7">
        <v>0.85</v>
      </c>
      <c r="F101" s="7">
        <v>0.25</v>
      </c>
      <c r="G101" s="7">
        <v>0.21</v>
      </c>
      <c r="H101" s="7">
        <v>0.18</v>
      </c>
      <c r="I101" s="7">
        <v>0.62</v>
      </c>
      <c r="J101" s="7">
        <v>0.04</v>
      </c>
      <c r="K101" s="7">
        <v>0.31</v>
      </c>
      <c r="L101" s="7">
        <v>0.18</v>
      </c>
      <c r="M101" s="7">
        <v>0.99</v>
      </c>
      <c r="N101" s="7">
        <v>0.44</v>
      </c>
      <c r="O101" s="7">
        <v>0.47</v>
      </c>
      <c r="P101" s="7">
        <v>0.41</v>
      </c>
      <c r="Q101" s="7">
        <v>0.17</v>
      </c>
      <c r="R101" s="7">
        <v>0.98</v>
      </c>
      <c r="S101" s="17">
        <v>0.57999999999999996</v>
      </c>
      <c r="T101" s="18">
        <f t="shared" si="1"/>
        <v>0.41749999999999998</v>
      </c>
    </row>
    <row r="102" spans="2:20" x14ac:dyDescent="0.3">
      <c r="B102" s="7" t="s">
        <v>136</v>
      </c>
      <c r="C102" s="7" t="s">
        <v>347</v>
      </c>
      <c r="D102" s="7">
        <v>0.87</v>
      </c>
      <c r="E102" s="7">
        <v>0.79</v>
      </c>
      <c r="F102" s="7">
        <v>0.64</v>
      </c>
      <c r="G102" s="7">
        <v>0</v>
      </c>
      <c r="H102" s="7">
        <v>0.25</v>
      </c>
      <c r="I102" s="7">
        <v>0.62</v>
      </c>
      <c r="J102" s="7">
        <v>0.69</v>
      </c>
      <c r="K102" s="7">
        <v>0.19</v>
      </c>
      <c r="L102" s="7">
        <v>0.92</v>
      </c>
      <c r="M102" s="7">
        <v>0.23</v>
      </c>
      <c r="N102" s="7">
        <v>0.49</v>
      </c>
      <c r="O102" s="7">
        <v>0</v>
      </c>
      <c r="P102" s="7">
        <v>0</v>
      </c>
      <c r="Q102" s="7">
        <v>0.63</v>
      </c>
      <c r="R102" s="7">
        <v>0.55000000000000004</v>
      </c>
      <c r="S102" s="17">
        <v>0.23</v>
      </c>
      <c r="T102" s="18">
        <f t="shared" si="1"/>
        <v>0.44375000000000009</v>
      </c>
    </row>
    <row r="103" spans="2:20" x14ac:dyDescent="0.3">
      <c r="B103" s="7" t="s">
        <v>137</v>
      </c>
      <c r="C103" s="7" t="s">
        <v>345</v>
      </c>
      <c r="D103" s="7">
        <v>0</v>
      </c>
      <c r="E103" s="7">
        <v>0</v>
      </c>
      <c r="F103" s="7">
        <v>0.2</v>
      </c>
      <c r="G103" s="7">
        <v>0.28999999999999998</v>
      </c>
      <c r="H103" s="7">
        <v>0.78</v>
      </c>
      <c r="I103" s="7">
        <v>0.06</v>
      </c>
      <c r="J103" s="7">
        <v>0</v>
      </c>
      <c r="K103" s="7">
        <v>0.3</v>
      </c>
      <c r="L103" s="7">
        <v>0</v>
      </c>
      <c r="M103" s="7">
        <v>0.65</v>
      </c>
      <c r="N103" s="7">
        <v>0.94</v>
      </c>
      <c r="O103" s="7">
        <v>0.19</v>
      </c>
      <c r="P103" s="7">
        <v>0.34</v>
      </c>
      <c r="Q103" s="7">
        <v>0.52</v>
      </c>
      <c r="R103" s="7">
        <v>0</v>
      </c>
      <c r="S103" s="17">
        <v>0.3</v>
      </c>
      <c r="T103" s="18">
        <f t="shared" si="1"/>
        <v>0.28562499999999996</v>
      </c>
    </row>
    <row r="104" spans="2:20" x14ac:dyDescent="0.3">
      <c r="B104" s="7" t="s">
        <v>138</v>
      </c>
      <c r="C104" s="7" t="s">
        <v>348</v>
      </c>
      <c r="D104" s="7">
        <v>0.71</v>
      </c>
      <c r="E104" s="7">
        <v>0.68</v>
      </c>
      <c r="F104" s="7">
        <v>0</v>
      </c>
      <c r="G104" s="7">
        <v>0</v>
      </c>
      <c r="H104" s="7">
        <v>0.34</v>
      </c>
      <c r="I104" s="7">
        <v>0.83</v>
      </c>
      <c r="J104" s="7">
        <v>0</v>
      </c>
      <c r="K104" s="7">
        <v>0</v>
      </c>
      <c r="L104" s="7">
        <v>0</v>
      </c>
      <c r="M104" s="7">
        <v>0.8</v>
      </c>
      <c r="N104" s="7">
        <v>0.04</v>
      </c>
      <c r="O104" s="7">
        <v>0</v>
      </c>
      <c r="P104" s="7">
        <v>0</v>
      </c>
      <c r="Q104" s="7">
        <v>0</v>
      </c>
      <c r="R104" s="7">
        <v>0.53</v>
      </c>
      <c r="S104" s="17">
        <v>0.41</v>
      </c>
      <c r="T104" s="18">
        <f t="shared" si="1"/>
        <v>0.27125000000000005</v>
      </c>
    </row>
    <row r="105" spans="2:20" x14ac:dyDescent="0.3">
      <c r="B105" s="7" t="s">
        <v>139</v>
      </c>
      <c r="C105" s="7" t="s">
        <v>348</v>
      </c>
      <c r="D105" s="7">
        <v>0.14000000000000001</v>
      </c>
      <c r="E105" s="7">
        <v>0.24</v>
      </c>
      <c r="F105" s="7">
        <v>0</v>
      </c>
      <c r="G105" s="7">
        <v>0</v>
      </c>
      <c r="H105" s="7">
        <v>0.12</v>
      </c>
      <c r="I105" s="7">
        <v>0.73</v>
      </c>
      <c r="J105" s="7">
        <v>0</v>
      </c>
      <c r="K105" s="7">
        <v>0</v>
      </c>
      <c r="L105" s="7">
        <v>0.85</v>
      </c>
      <c r="M105" s="7">
        <v>1</v>
      </c>
      <c r="N105" s="7">
        <v>0.64</v>
      </c>
      <c r="O105" s="7">
        <v>0.23</v>
      </c>
      <c r="P105" s="7">
        <v>0.7</v>
      </c>
      <c r="Q105" s="7">
        <v>0.49</v>
      </c>
      <c r="R105" s="7">
        <v>0.1</v>
      </c>
      <c r="S105" s="17">
        <v>0.59</v>
      </c>
      <c r="T105" s="18">
        <f t="shared" si="1"/>
        <v>0.364375</v>
      </c>
    </row>
    <row r="106" spans="2:20" x14ac:dyDescent="0.3">
      <c r="B106" s="7" t="s">
        <v>140</v>
      </c>
      <c r="C106" s="7" t="s">
        <v>348</v>
      </c>
      <c r="D106" s="7">
        <v>0.76</v>
      </c>
      <c r="E106" s="7">
        <v>0.05</v>
      </c>
      <c r="F106" s="7">
        <v>0</v>
      </c>
      <c r="G106" s="7">
        <v>0.44</v>
      </c>
      <c r="H106" s="7">
        <v>0</v>
      </c>
      <c r="I106" s="7">
        <v>0.85</v>
      </c>
      <c r="J106" s="7">
        <v>0.71</v>
      </c>
      <c r="K106" s="7">
        <v>0.28000000000000003</v>
      </c>
      <c r="L106" s="7">
        <v>0.83</v>
      </c>
      <c r="M106" s="7">
        <v>0.25</v>
      </c>
      <c r="N106" s="7">
        <v>0.81</v>
      </c>
      <c r="O106" s="7">
        <v>0.66</v>
      </c>
      <c r="P106" s="7">
        <v>0.62</v>
      </c>
      <c r="Q106" s="7">
        <v>0</v>
      </c>
      <c r="R106" s="7">
        <v>0.4</v>
      </c>
      <c r="S106" s="17">
        <v>0.09</v>
      </c>
      <c r="T106" s="18">
        <f t="shared" si="1"/>
        <v>0.42187500000000006</v>
      </c>
    </row>
    <row r="107" spans="2:20" x14ac:dyDescent="0.3">
      <c r="B107" s="7" t="s">
        <v>141</v>
      </c>
      <c r="C107" s="7" t="s">
        <v>346</v>
      </c>
      <c r="D107" s="7">
        <v>0.88</v>
      </c>
      <c r="E107" s="7">
        <v>0</v>
      </c>
      <c r="F107" s="7">
        <v>0.86</v>
      </c>
      <c r="G107" s="7">
        <v>0.16</v>
      </c>
      <c r="H107" s="7">
        <v>0</v>
      </c>
      <c r="I107" s="7">
        <v>0.64</v>
      </c>
      <c r="J107" s="7">
        <v>0.96</v>
      </c>
      <c r="K107" s="7">
        <v>0.91</v>
      </c>
      <c r="L107" s="7">
        <v>0.79</v>
      </c>
      <c r="M107" s="7">
        <v>0.63</v>
      </c>
      <c r="N107" s="7">
        <v>0.03</v>
      </c>
      <c r="O107" s="7">
        <v>0.94</v>
      </c>
      <c r="P107" s="7">
        <v>0.51</v>
      </c>
      <c r="Q107" s="7">
        <v>0.6</v>
      </c>
      <c r="R107" s="7">
        <v>0.71</v>
      </c>
      <c r="S107" s="17">
        <v>0.86</v>
      </c>
      <c r="T107" s="18">
        <f t="shared" si="1"/>
        <v>0.59250000000000003</v>
      </c>
    </row>
    <row r="108" spans="2:20" x14ac:dyDescent="0.3">
      <c r="B108" s="7" t="s">
        <v>142</v>
      </c>
      <c r="C108" s="7" t="s">
        <v>346</v>
      </c>
      <c r="D108" s="7">
        <v>0.7</v>
      </c>
      <c r="E108" s="7">
        <v>0.93</v>
      </c>
      <c r="F108" s="7">
        <v>0.7</v>
      </c>
      <c r="G108" s="7">
        <v>0.96</v>
      </c>
      <c r="H108" s="7">
        <v>0.12</v>
      </c>
      <c r="I108" s="7">
        <v>0</v>
      </c>
      <c r="J108" s="7">
        <v>0</v>
      </c>
      <c r="K108" s="7">
        <v>0.03</v>
      </c>
      <c r="L108" s="7">
        <v>0.96</v>
      </c>
      <c r="M108" s="7">
        <v>0.53</v>
      </c>
      <c r="N108" s="7">
        <v>0.32</v>
      </c>
      <c r="O108" s="7">
        <v>0.15</v>
      </c>
      <c r="P108" s="7">
        <v>0</v>
      </c>
      <c r="Q108" s="7">
        <v>0.14000000000000001</v>
      </c>
      <c r="R108" s="7">
        <v>0.35</v>
      </c>
      <c r="S108" s="17">
        <v>0.31</v>
      </c>
      <c r="T108" s="18">
        <f t="shared" si="1"/>
        <v>0.38750000000000001</v>
      </c>
    </row>
    <row r="109" spans="2:20" x14ac:dyDescent="0.3">
      <c r="B109" s="7" t="s">
        <v>143</v>
      </c>
      <c r="C109" s="7" t="s">
        <v>348</v>
      </c>
      <c r="D109" s="7">
        <v>0.02</v>
      </c>
      <c r="E109" s="7">
        <v>0.69</v>
      </c>
      <c r="F109" s="7">
        <v>0.73</v>
      </c>
      <c r="G109" s="7">
        <v>0.79</v>
      </c>
      <c r="H109" s="7">
        <v>0.82</v>
      </c>
      <c r="I109" s="7">
        <v>0.13</v>
      </c>
      <c r="J109" s="7">
        <v>0</v>
      </c>
      <c r="K109" s="7">
        <v>0.88</v>
      </c>
      <c r="L109" s="7">
        <v>0.46</v>
      </c>
      <c r="M109" s="7">
        <v>0.77</v>
      </c>
      <c r="N109" s="7">
        <v>0.16</v>
      </c>
      <c r="O109" s="7">
        <v>0.9</v>
      </c>
      <c r="P109" s="7">
        <v>0</v>
      </c>
      <c r="Q109" s="7">
        <v>0.4</v>
      </c>
      <c r="R109" s="7">
        <v>0.65</v>
      </c>
      <c r="S109" s="17">
        <v>0.01</v>
      </c>
      <c r="T109" s="18">
        <f t="shared" si="1"/>
        <v>0.46312500000000001</v>
      </c>
    </row>
    <row r="110" spans="2:20" x14ac:dyDescent="0.3">
      <c r="B110" s="7" t="s">
        <v>144</v>
      </c>
      <c r="C110" s="7" t="s">
        <v>349</v>
      </c>
      <c r="D110" s="7">
        <v>0.12</v>
      </c>
      <c r="E110" s="7">
        <v>0</v>
      </c>
      <c r="F110" s="7">
        <v>0</v>
      </c>
      <c r="G110" s="7">
        <v>0.24</v>
      </c>
      <c r="H110" s="7">
        <v>0.54</v>
      </c>
      <c r="I110" s="7">
        <v>0</v>
      </c>
      <c r="J110" s="7">
        <v>0.54</v>
      </c>
      <c r="K110" s="7">
        <v>0.59</v>
      </c>
      <c r="L110" s="7">
        <v>0.43</v>
      </c>
      <c r="M110" s="7">
        <v>0.61</v>
      </c>
      <c r="N110" s="7">
        <v>0</v>
      </c>
      <c r="O110" s="7">
        <v>0.9</v>
      </c>
      <c r="P110" s="7">
        <v>0.02</v>
      </c>
      <c r="Q110" s="7">
        <v>0.92</v>
      </c>
      <c r="R110" s="7">
        <v>0</v>
      </c>
      <c r="S110" s="17">
        <v>0.65</v>
      </c>
      <c r="T110" s="18">
        <f t="shared" si="1"/>
        <v>0.34750000000000003</v>
      </c>
    </row>
    <row r="111" spans="2:20" x14ac:dyDescent="0.3">
      <c r="B111" s="7" t="s">
        <v>145</v>
      </c>
      <c r="C111" s="7" t="s">
        <v>345</v>
      </c>
      <c r="D111" s="7">
        <v>0.87</v>
      </c>
      <c r="E111" s="7">
        <v>0.79</v>
      </c>
      <c r="F111" s="7">
        <v>0.67</v>
      </c>
      <c r="G111" s="7">
        <v>0</v>
      </c>
      <c r="H111" s="7">
        <v>0.93</v>
      </c>
      <c r="I111" s="7">
        <v>0.59</v>
      </c>
      <c r="J111" s="7">
        <v>0</v>
      </c>
      <c r="K111" s="7">
        <v>0</v>
      </c>
      <c r="L111" s="7">
        <v>0.22</v>
      </c>
      <c r="M111" s="7">
        <v>0</v>
      </c>
      <c r="N111" s="7">
        <v>0.28999999999999998</v>
      </c>
      <c r="O111" s="7">
        <v>0.48</v>
      </c>
      <c r="P111" s="7">
        <v>0</v>
      </c>
      <c r="Q111" s="7">
        <v>0</v>
      </c>
      <c r="R111" s="7">
        <v>0</v>
      </c>
      <c r="S111" s="17">
        <v>0.27</v>
      </c>
      <c r="T111" s="18">
        <f t="shared" si="1"/>
        <v>0.31937499999999996</v>
      </c>
    </row>
    <row r="112" spans="2:20" x14ac:dyDescent="0.3">
      <c r="B112" s="7" t="s">
        <v>146</v>
      </c>
      <c r="C112" s="7" t="s">
        <v>344</v>
      </c>
      <c r="D112" s="7">
        <v>0</v>
      </c>
      <c r="E112" s="7">
        <v>0</v>
      </c>
      <c r="F112" s="7">
        <v>7.0000000000000007E-2</v>
      </c>
      <c r="G112" s="7">
        <v>0</v>
      </c>
      <c r="H112" s="7">
        <v>0</v>
      </c>
      <c r="I112" s="7">
        <v>0</v>
      </c>
      <c r="J112" s="7">
        <v>0.82</v>
      </c>
      <c r="K112" s="7">
        <v>0.55000000000000004</v>
      </c>
      <c r="L112" s="7">
        <v>0</v>
      </c>
      <c r="M112" s="7">
        <v>0</v>
      </c>
      <c r="N112" s="7">
        <v>0.05</v>
      </c>
      <c r="O112" s="7">
        <v>0.45</v>
      </c>
      <c r="P112" s="7">
        <v>0.79</v>
      </c>
      <c r="Q112" s="7">
        <v>0.82</v>
      </c>
      <c r="R112" s="7">
        <v>0</v>
      </c>
      <c r="S112" s="17">
        <v>0.73</v>
      </c>
      <c r="T112" s="18">
        <f t="shared" si="1"/>
        <v>0.26749999999999996</v>
      </c>
    </row>
    <row r="113" spans="2:20" x14ac:dyDescent="0.3">
      <c r="B113" s="7" t="s">
        <v>147</v>
      </c>
      <c r="C113" s="7" t="s">
        <v>346</v>
      </c>
      <c r="D113" s="7">
        <v>0.16</v>
      </c>
      <c r="E113" s="7">
        <v>0.85</v>
      </c>
      <c r="F113" s="7">
        <v>0.08</v>
      </c>
      <c r="G113" s="7">
        <v>0.52</v>
      </c>
      <c r="H113" s="7">
        <v>0.06</v>
      </c>
      <c r="I113" s="7">
        <v>0.82</v>
      </c>
      <c r="J113" s="7">
        <v>0</v>
      </c>
      <c r="K113" s="7">
        <v>0.99</v>
      </c>
      <c r="L113" s="7">
        <v>0.02</v>
      </c>
      <c r="M113" s="7">
        <v>0.32</v>
      </c>
      <c r="N113" s="7">
        <v>0.61</v>
      </c>
      <c r="O113" s="7">
        <v>0.87</v>
      </c>
      <c r="P113" s="7">
        <v>0.61</v>
      </c>
      <c r="Q113" s="7">
        <v>0.45</v>
      </c>
      <c r="R113" s="7">
        <v>0</v>
      </c>
      <c r="S113" s="17">
        <v>0.69</v>
      </c>
      <c r="T113" s="18">
        <f t="shared" si="1"/>
        <v>0.44062500000000004</v>
      </c>
    </row>
    <row r="114" spans="2:20" x14ac:dyDescent="0.3">
      <c r="B114" s="7" t="s">
        <v>148</v>
      </c>
      <c r="C114" s="7" t="s">
        <v>346</v>
      </c>
      <c r="D114" s="7">
        <v>0.47</v>
      </c>
      <c r="E114" s="7">
        <v>0.6</v>
      </c>
      <c r="F114" s="7">
        <v>0</v>
      </c>
      <c r="G114" s="7">
        <v>0.61</v>
      </c>
      <c r="H114" s="7">
        <v>0.37</v>
      </c>
      <c r="I114" s="7">
        <v>0.99</v>
      </c>
      <c r="J114" s="7">
        <v>0</v>
      </c>
      <c r="K114" s="7">
        <v>0.68</v>
      </c>
      <c r="L114" s="7">
        <v>0</v>
      </c>
      <c r="M114" s="7">
        <v>0</v>
      </c>
      <c r="N114" s="7">
        <v>0</v>
      </c>
      <c r="O114" s="7">
        <v>0.48</v>
      </c>
      <c r="P114" s="7">
        <v>0</v>
      </c>
      <c r="Q114" s="7">
        <v>0</v>
      </c>
      <c r="R114" s="7">
        <v>0</v>
      </c>
      <c r="S114" s="17">
        <v>0.72</v>
      </c>
      <c r="T114" s="18">
        <f t="shared" si="1"/>
        <v>0.3075</v>
      </c>
    </row>
    <row r="115" spans="2:20" x14ac:dyDescent="0.3">
      <c r="B115" s="7" t="s">
        <v>149</v>
      </c>
      <c r="C115" s="7" t="s">
        <v>346</v>
      </c>
      <c r="D115" s="7">
        <v>0.41</v>
      </c>
      <c r="E115" s="7">
        <v>0.23</v>
      </c>
      <c r="F115" s="7">
        <v>0.51</v>
      </c>
      <c r="G115" s="7">
        <v>0.5</v>
      </c>
      <c r="H115" s="7">
        <v>0</v>
      </c>
      <c r="I115" s="7">
        <v>0.77</v>
      </c>
      <c r="J115" s="7">
        <v>0.89</v>
      </c>
      <c r="K115" s="7">
        <v>0.1</v>
      </c>
      <c r="L115" s="7">
        <v>0.78</v>
      </c>
      <c r="M115" s="7">
        <v>0.35</v>
      </c>
      <c r="N115" s="7">
        <v>0</v>
      </c>
      <c r="O115" s="7">
        <v>0.4</v>
      </c>
      <c r="P115" s="7">
        <v>0.51</v>
      </c>
      <c r="Q115" s="7">
        <v>0.79</v>
      </c>
      <c r="R115" s="7">
        <v>0.37</v>
      </c>
      <c r="S115" s="17">
        <v>0</v>
      </c>
      <c r="T115" s="18">
        <f t="shared" si="1"/>
        <v>0.41312500000000002</v>
      </c>
    </row>
    <row r="116" spans="2:20" x14ac:dyDescent="0.3">
      <c r="B116" s="7" t="s">
        <v>150</v>
      </c>
      <c r="C116" s="7" t="s">
        <v>348</v>
      </c>
      <c r="D116" s="7">
        <v>0.36</v>
      </c>
      <c r="E116" s="7">
        <v>0</v>
      </c>
      <c r="F116" s="7">
        <v>0.2</v>
      </c>
      <c r="G116" s="7">
        <v>0</v>
      </c>
      <c r="H116" s="7">
        <v>0.33</v>
      </c>
      <c r="I116" s="7">
        <v>0</v>
      </c>
      <c r="J116" s="7">
        <v>0.88</v>
      </c>
      <c r="K116" s="7">
        <v>0.4</v>
      </c>
      <c r="L116" s="7">
        <v>0.89</v>
      </c>
      <c r="M116" s="7">
        <v>0.42</v>
      </c>
      <c r="N116" s="7">
        <v>0</v>
      </c>
      <c r="O116" s="7">
        <v>0.03</v>
      </c>
      <c r="P116" s="7">
        <v>0</v>
      </c>
      <c r="Q116" s="7">
        <v>0</v>
      </c>
      <c r="R116" s="7">
        <v>0.51</v>
      </c>
      <c r="S116" s="17">
        <v>0.57999999999999996</v>
      </c>
      <c r="T116" s="18">
        <f t="shared" si="1"/>
        <v>0.28749999999999998</v>
      </c>
    </row>
    <row r="117" spans="2:20" x14ac:dyDescent="0.3">
      <c r="B117" s="7" t="s">
        <v>151</v>
      </c>
      <c r="C117" s="7" t="s">
        <v>348</v>
      </c>
      <c r="D117" s="7">
        <v>0.87</v>
      </c>
      <c r="E117" s="7">
        <v>0.09</v>
      </c>
      <c r="F117" s="7">
        <v>0.67</v>
      </c>
      <c r="G117" s="7">
        <v>0.63</v>
      </c>
      <c r="H117" s="7">
        <v>0</v>
      </c>
      <c r="I117" s="7">
        <v>0.1</v>
      </c>
      <c r="J117" s="7">
        <v>0.93</v>
      </c>
      <c r="K117" s="7">
        <v>0.24</v>
      </c>
      <c r="L117" s="7">
        <v>0.47</v>
      </c>
      <c r="M117" s="7">
        <v>0.52</v>
      </c>
      <c r="N117" s="7">
        <v>0.09</v>
      </c>
      <c r="O117" s="7">
        <v>0.25</v>
      </c>
      <c r="P117" s="7">
        <v>0.43</v>
      </c>
      <c r="Q117" s="7">
        <v>0.37</v>
      </c>
      <c r="R117" s="7">
        <v>0.01</v>
      </c>
      <c r="S117" s="17">
        <v>0.11</v>
      </c>
      <c r="T117" s="18">
        <f t="shared" si="1"/>
        <v>0.36124999999999996</v>
      </c>
    </row>
    <row r="118" spans="2:20" x14ac:dyDescent="0.3">
      <c r="B118" s="7" t="s">
        <v>152</v>
      </c>
      <c r="C118" s="7" t="s">
        <v>348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0.95</v>
      </c>
      <c r="J118" s="7">
        <v>0.82</v>
      </c>
      <c r="K118" s="7">
        <v>0.76</v>
      </c>
      <c r="L118" s="7">
        <v>0.56999999999999995</v>
      </c>
      <c r="M118" s="7">
        <v>0.13</v>
      </c>
      <c r="N118" s="7">
        <v>0.56000000000000005</v>
      </c>
      <c r="O118" s="7">
        <v>0</v>
      </c>
      <c r="P118" s="7">
        <v>0.88</v>
      </c>
      <c r="Q118" s="7">
        <v>0.49</v>
      </c>
      <c r="R118" s="7">
        <v>0.16</v>
      </c>
      <c r="S118" s="17">
        <v>0.44</v>
      </c>
      <c r="T118" s="18">
        <f t="shared" si="1"/>
        <v>0.36000000000000004</v>
      </c>
    </row>
    <row r="119" spans="2:20" x14ac:dyDescent="0.3">
      <c r="B119" s="7" t="s">
        <v>153</v>
      </c>
      <c r="C119" s="7" t="s">
        <v>348</v>
      </c>
      <c r="D119" s="7">
        <v>0.97</v>
      </c>
      <c r="E119" s="7">
        <v>0.21</v>
      </c>
      <c r="F119" s="7">
        <v>0</v>
      </c>
      <c r="G119" s="7">
        <v>0.5</v>
      </c>
      <c r="H119" s="7">
        <v>0.96</v>
      </c>
      <c r="I119" s="7">
        <v>0.77</v>
      </c>
      <c r="J119" s="7">
        <v>0.48</v>
      </c>
      <c r="K119" s="7">
        <v>0.84</v>
      </c>
      <c r="L119" s="7">
        <v>0.92</v>
      </c>
      <c r="M119" s="7">
        <v>0.87</v>
      </c>
      <c r="N119" s="7">
        <v>0</v>
      </c>
      <c r="O119" s="7">
        <v>0.4</v>
      </c>
      <c r="P119" s="7">
        <v>0.83</v>
      </c>
      <c r="Q119" s="7">
        <v>0.85</v>
      </c>
      <c r="R119" s="7">
        <v>0</v>
      </c>
      <c r="S119" s="17">
        <v>0.43</v>
      </c>
      <c r="T119" s="18">
        <f t="shared" si="1"/>
        <v>0.56437499999999996</v>
      </c>
    </row>
    <row r="120" spans="2:20" x14ac:dyDescent="0.3">
      <c r="B120" s="7" t="s">
        <v>154</v>
      </c>
      <c r="C120" s="7" t="s">
        <v>346</v>
      </c>
      <c r="D120" s="7">
        <v>0</v>
      </c>
      <c r="E120" s="7">
        <v>0.47</v>
      </c>
      <c r="F120" s="7">
        <v>0</v>
      </c>
      <c r="G120" s="7">
        <v>0.53</v>
      </c>
      <c r="H120" s="7">
        <v>0.35</v>
      </c>
      <c r="I120" s="7">
        <v>0.82</v>
      </c>
      <c r="J120" s="7">
        <v>0.55000000000000004</v>
      </c>
      <c r="K120" s="7">
        <v>0.23</v>
      </c>
      <c r="L120" s="7">
        <v>0.23</v>
      </c>
      <c r="M120" s="7">
        <v>0.57999999999999996</v>
      </c>
      <c r="N120" s="7">
        <v>0</v>
      </c>
      <c r="O120" s="7">
        <v>0</v>
      </c>
      <c r="P120" s="7">
        <v>0.27</v>
      </c>
      <c r="Q120" s="7">
        <v>0.89</v>
      </c>
      <c r="R120" s="7">
        <v>0.6</v>
      </c>
      <c r="S120" s="17">
        <v>0</v>
      </c>
      <c r="T120" s="18">
        <f t="shared" si="1"/>
        <v>0.34499999999999992</v>
      </c>
    </row>
    <row r="121" spans="2:20" x14ac:dyDescent="0.3">
      <c r="B121" s="7" t="s">
        <v>155</v>
      </c>
      <c r="C121" s="7" t="s">
        <v>345</v>
      </c>
      <c r="D121" s="7">
        <v>0.15</v>
      </c>
      <c r="E121" s="7">
        <v>0</v>
      </c>
      <c r="F121" s="7">
        <v>0</v>
      </c>
      <c r="G121" s="7">
        <v>0.74</v>
      </c>
      <c r="H121" s="7">
        <v>0.52</v>
      </c>
      <c r="I121" s="7">
        <v>0.9</v>
      </c>
      <c r="J121" s="7">
        <v>0.98</v>
      </c>
      <c r="K121" s="7">
        <v>0.41</v>
      </c>
      <c r="L121" s="7">
        <v>0</v>
      </c>
      <c r="M121" s="7">
        <v>0.54</v>
      </c>
      <c r="N121" s="7">
        <v>0.92</v>
      </c>
      <c r="O121" s="7">
        <v>0.46</v>
      </c>
      <c r="P121" s="7">
        <v>0</v>
      </c>
      <c r="Q121" s="7">
        <v>0.28999999999999998</v>
      </c>
      <c r="R121" s="7">
        <v>0.01</v>
      </c>
      <c r="S121" s="17">
        <v>0.1</v>
      </c>
      <c r="T121" s="18">
        <f t="shared" si="1"/>
        <v>0.37624999999999997</v>
      </c>
    </row>
    <row r="122" spans="2:20" x14ac:dyDescent="0.3">
      <c r="B122" s="7" t="s">
        <v>156</v>
      </c>
      <c r="C122" s="7" t="s">
        <v>347</v>
      </c>
      <c r="D122" s="7">
        <v>0.41</v>
      </c>
      <c r="E122" s="7">
        <v>0</v>
      </c>
      <c r="F122" s="7">
        <v>0.37</v>
      </c>
      <c r="G122" s="7">
        <v>0.38</v>
      </c>
      <c r="H122" s="7">
        <v>0.99</v>
      </c>
      <c r="I122" s="7">
        <v>0.25</v>
      </c>
      <c r="J122" s="7">
        <v>0.99</v>
      </c>
      <c r="K122" s="7">
        <v>0.23</v>
      </c>
      <c r="L122" s="7">
        <v>0.53</v>
      </c>
      <c r="M122" s="7">
        <v>0.62</v>
      </c>
      <c r="N122" s="7">
        <v>0.62</v>
      </c>
      <c r="O122" s="7">
        <v>0.98</v>
      </c>
      <c r="P122" s="7">
        <v>0.04</v>
      </c>
      <c r="Q122" s="7">
        <v>0.36</v>
      </c>
      <c r="R122" s="7">
        <v>0.5</v>
      </c>
      <c r="S122" s="17">
        <v>0</v>
      </c>
      <c r="T122" s="18">
        <f t="shared" si="1"/>
        <v>0.45437500000000008</v>
      </c>
    </row>
    <row r="123" spans="2:20" x14ac:dyDescent="0.3">
      <c r="B123" s="7" t="s">
        <v>157</v>
      </c>
      <c r="C123" s="7" t="s">
        <v>349</v>
      </c>
      <c r="D123" s="7">
        <v>0.51</v>
      </c>
      <c r="E123" s="7">
        <v>0.23</v>
      </c>
      <c r="F123" s="7">
        <v>0</v>
      </c>
      <c r="G123" s="7">
        <v>0.09</v>
      </c>
      <c r="H123" s="7">
        <v>0.95</v>
      </c>
      <c r="I123" s="7">
        <v>0</v>
      </c>
      <c r="J123" s="7">
        <v>0.08</v>
      </c>
      <c r="K123" s="7">
        <v>0.15</v>
      </c>
      <c r="L123" s="7">
        <v>0.2</v>
      </c>
      <c r="M123" s="7">
        <v>0.56999999999999995</v>
      </c>
      <c r="N123" s="7">
        <v>0</v>
      </c>
      <c r="O123" s="7">
        <v>0.63</v>
      </c>
      <c r="P123" s="7">
        <v>0.96</v>
      </c>
      <c r="Q123" s="7">
        <v>0.28000000000000003</v>
      </c>
      <c r="R123" s="7">
        <v>0.13</v>
      </c>
      <c r="S123" s="17">
        <v>0.35</v>
      </c>
      <c r="T123" s="18">
        <f t="shared" si="1"/>
        <v>0.32062499999999994</v>
      </c>
    </row>
    <row r="124" spans="2:20" x14ac:dyDescent="0.3">
      <c r="B124" s="7" t="s">
        <v>158</v>
      </c>
      <c r="C124" s="7" t="s">
        <v>346</v>
      </c>
      <c r="D124" s="7">
        <v>0.9</v>
      </c>
      <c r="E124" s="7">
        <v>0.8</v>
      </c>
      <c r="F124" s="7">
        <v>0.02</v>
      </c>
      <c r="G124" s="7">
        <v>0.97</v>
      </c>
      <c r="H124" s="7">
        <v>0.77</v>
      </c>
      <c r="I124" s="7">
        <v>0.99</v>
      </c>
      <c r="J124" s="7">
        <v>0.97</v>
      </c>
      <c r="K124" s="7">
        <v>0.9</v>
      </c>
      <c r="L124" s="7">
        <v>0.2</v>
      </c>
      <c r="M124" s="7">
        <v>0.32</v>
      </c>
      <c r="N124" s="7">
        <v>0.76</v>
      </c>
      <c r="O124" s="7">
        <v>0</v>
      </c>
      <c r="P124" s="7">
        <v>0.21</v>
      </c>
      <c r="Q124" s="7">
        <v>0.27</v>
      </c>
      <c r="R124" s="7">
        <v>0</v>
      </c>
      <c r="S124" s="17">
        <v>0</v>
      </c>
      <c r="T124" s="18">
        <f t="shared" si="1"/>
        <v>0.505</v>
      </c>
    </row>
    <row r="125" spans="2:20" x14ac:dyDescent="0.3">
      <c r="B125" s="7" t="s">
        <v>159</v>
      </c>
      <c r="C125" s="7" t="s">
        <v>349</v>
      </c>
      <c r="D125" s="7">
        <v>0</v>
      </c>
      <c r="E125" s="7">
        <v>0.04</v>
      </c>
      <c r="F125" s="7">
        <v>0</v>
      </c>
      <c r="G125" s="7">
        <v>0.37</v>
      </c>
      <c r="H125" s="7">
        <v>0.86</v>
      </c>
      <c r="I125" s="7">
        <v>0</v>
      </c>
      <c r="J125" s="7">
        <v>0.36</v>
      </c>
      <c r="K125" s="7">
        <v>0.5</v>
      </c>
      <c r="L125" s="7">
        <v>0.65</v>
      </c>
      <c r="M125" s="7">
        <v>0.28999999999999998</v>
      </c>
      <c r="N125" s="7">
        <v>0.32</v>
      </c>
      <c r="O125" s="7">
        <v>0.04</v>
      </c>
      <c r="P125" s="7">
        <v>0.32</v>
      </c>
      <c r="Q125" s="7">
        <v>0.92</v>
      </c>
      <c r="R125" s="7">
        <v>0</v>
      </c>
      <c r="S125" s="17">
        <v>0.2</v>
      </c>
      <c r="T125" s="18">
        <f t="shared" si="1"/>
        <v>0.30437500000000001</v>
      </c>
    </row>
    <row r="126" spans="2:20" x14ac:dyDescent="0.3">
      <c r="B126" s="7" t="s">
        <v>160</v>
      </c>
      <c r="C126" s="7" t="s">
        <v>344</v>
      </c>
      <c r="D126" s="7">
        <v>0.46</v>
      </c>
      <c r="E126" s="7">
        <v>0.95</v>
      </c>
      <c r="F126" s="7">
        <v>0.04</v>
      </c>
      <c r="G126" s="7">
        <v>0</v>
      </c>
      <c r="H126" s="7">
        <v>0</v>
      </c>
      <c r="I126" s="7">
        <v>0.72</v>
      </c>
      <c r="J126" s="7">
        <v>0.53</v>
      </c>
      <c r="K126" s="7">
        <v>0.63</v>
      </c>
      <c r="L126" s="7">
        <v>0.12</v>
      </c>
      <c r="M126" s="7">
        <v>0.56999999999999995</v>
      </c>
      <c r="N126" s="7">
        <v>0.32</v>
      </c>
      <c r="O126" s="7">
        <v>0</v>
      </c>
      <c r="P126" s="7">
        <v>0.98</v>
      </c>
      <c r="Q126" s="7">
        <v>0</v>
      </c>
      <c r="R126" s="7">
        <v>0.04</v>
      </c>
      <c r="S126" s="17">
        <v>0</v>
      </c>
      <c r="T126" s="18">
        <f t="shared" si="1"/>
        <v>0.33500000000000002</v>
      </c>
    </row>
    <row r="127" spans="2:20" x14ac:dyDescent="0.3">
      <c r="B127" s="7" t="s">
        <v>161</v>
      </c>
      <c r="C127" s="7" t="s">
        <v>346</v>
      </c>
      <c r="D127" s="7">
        <v>0.32</v>
      </c>
      <c r="E127" s="7">
        <v>0.26</v>
      </c>
      <c r="F127" s="7">
        <v>0.06</v>
      </c>
      <c r="G127" s="7">
        <v>0</v>
      </c>
      <c r="H127" s="7">
        <v>0.7</v>
      </c>
      <c r="I127" s="7">
        <v>0</v>
      </c>
      <c r="J127" s="7">
        <v>0.17</v>
      </c>
      <c r="K127" s="7">
        <v>0</v>
      </c>
      <c r="L127" s="7">
        <v>0.88</v>
      </c>
      <c r="M127" s="7">
        <v>0.69</v>
      </c>
      <c r="N127" s="7">
        <v>0.56999999999999995</v>
      </c>
      <c r="O127" s="7">
        <v>0.18</v>
      </c>
      <c r="P127" s="7">
        <v>0</v>
      </c>
      <c r="Q127" s="7">
        <v>0.99</v>
      </c>
      <c r="R127" s="7">
        <v>0.77</v>
      </c>
      <c r="S127" s="17">
        <v>0.63</v>
      </c>
      <c r="T127" s="18">
        <f t="shared" si="1"/>
        <v>0.38874999999999998</v>
      </c>
    </row>
    <row r="128" spans="2:20" x14ac:dyDescent="0.3">
      <c r="B128" s="7" t="s">
        <v>162</v>
      </c>
      <c r="C128" s="7" t="s">
        <v>346</v>
      </c>
      <c r="D128" s="7">
        <v>0.8</v>
      </c>
      <c r="E128" s="7">
        <v>0</v>
      </c>
      <c r="F128" s="7">
        <v>0.52</v>
      </c>
      <c r="G128" s="7">
        <v>0.11</v>
      </c>
      <c r="H128" s="7">
        <v>1</v>
      </c>
      <c r="I128" s="7">
        <v>0.81</v>
      </c>
      <c r="J128" s="7">
        <v>0.39</v>
      </c>
      <c r="K128" s="7">
        <v>0.81</v>
      </c>
      <c r="L128" s="7">
        <v>0.49</v>
      </c>
      <c r="M128" s="7">
        <v>0.81</v>
      </c>
      <c r="N128" s="7">
        <v>0.4</v>
      </c>
      <c r="O128" s="7">
        <v>0.28000000000000003</v>
      </c>
      <c r="P128" s="7">
        <v>0.13</v>
      </c>
      <c r="Q128" s="7">
        <v>0</v>
      </c>
      <c r="R128" s="7">
        <v>0.71</v>
      </c>
      <c r="S128" s="17">
        <v>0.24</v>
      </c>
      <c r="T128" s="18">
        <f t="shared" si="1"/>
        <v>0.46875000000000006</v>
      </c>
    </row>
    <row r="129" spans="2:20" x14ac:dyDescent="0.3">
      <c r="B129" s="7" t="s">
        <v>163</v>
      </c>
      <c r="C129" s="7" t="s">
        <v>347</v>
      </c>
      <c r="D129" s="7">
        <v>0.61</v>
      </c>
      <c r="E129" s="7">
        <v>0.46</v>
      </c>
      <c r="F129" s="7">
        <v>0</v>
      </c>
      <c r="G129" s="7">
        <v>0.56999999999999995</v>
      </c>
      <c r="H129" s="7">
        <v>0.6</v>
      </c>
      <c r="I129" s="7">
        <v>0.72</v>
      </c>
      <c r="J129" s="7">
        <v>0.49</v>
      </c>
      <c r="K129" s="7">
        <v>0.7</v>
      </c>
      <c r="L129" s="7">
        <v>0.75</v>
      </c>
      <c r="M129" s="7">
        <v>0.76</v>
      </c>
      <c r="N129" s="7">
        <v>0.44</v>
      </c>
      <c r="O129" s="7">
        <v>0.05</v>
      </c>
      <c r="P129" s="7">
        <v>0</v>
      </c>
      <c r="Q129" s="7">
        <v>0</v>
      </c>
      <c r="R129" s="7">
        <v>0.93</v>
      </c>
      <c r="S129" s="17">
        <v>0.43</v>
      </c>
      <c r="T129" s="18">
        <f t="shared" si="1"/>
        <v>0.46937499999999999</v>
      </c>
    </row>
    <row r="130" spans="2:20" x14ac:dyDescent="0.3">
      <c r="B130" s="7" t="s">
        <v>164</v>
      </c>
      <c r="C130" s="7" t="s">
        <v>345</v>
      </c>
      <c r="D130" s="7">
        <v>0.98</v>
      </c>
      <c r="E130" s="7">
        <v>0.25</v>
      </c>
      <c r="F130" s="7">
        <v>0.85</v>
      </c>
      <c r="G130" s="7">
        <v>0.85</v>
      </c>
      <c r="H130" s="7">
        <v>0.89</v>
      </c>
      <c r="I130" s="7">
        <v>0.27</v>
      </c>
      <c r="J130" s="7">
        <v>0.41</v>
      </c>
      <c r="K130" s="7">
        <v>0.81</v>
      </c>
      <c r="L130" s="7">
        <v>0.37</v>
      </c>
      <c r="M130" s="7">
        <v>0.8</v>
      </c>
      <c r="N130" s="7">
        <v>0.54</v>
      </c>
      <c r="O130" s="7">
        <v>0.1</v>
      </c>
      <c r="P130" s="7">
        <v>0</v>
      </c>
      <c r="Q130" s="7">
        <v>0.17</v>
      </c>
      <c r="R130" s="7">
        <v>0.76</v>
      </c>
      <c r="S130" s="17">
        <v>0.39</v>
      </c>
      <c r="T130" s="18">
        <f t="shared" si="1"/>
        <v>0.52750000000000008</v>
      </c>
    </row>
    <row r="131" spans="2:20" x14ac:dyDescent="0.3">
      <c r="B131" s="7" t="s">
        <v>165</v>
      </c>
      <c r="C131" s="7" t="s">
        <v>344</v>
      </c>
      <c r="D131" s="7">
        <v>0.04</v>
      </c>
      <c r="E131" s="7">
        <v>0.47</v>
      </c>
      <c r="F131" s="7">
        <v>0.37</v>
      </c>
      <c r="G131" s="7">
        <v>0.02</v>
      </c>
      <c r="H131" s="7">
        <v>0</v>
      </c>
      <c r="I131" s="7">
        <v>0.43</v>
      </c>
      <c r="J131" s="7">
        <v>0.2</v>
      </c>
      <c r="K131" s="7">
        <v>0.66</v>
      </c>
      <c r="L131" s="7">
        <v>0.34</v>
      </c>
      <c r="M131" s="7">
        <v>0.92</v>
      </c>
      <c r="N131" s="7">
        <v>0.01</v>
      </c>
      <c r="O131" s="7">
        <v>0.86</v>
      </c>
      <c r="P131" s="7">
        <v>0.05</v>
      </c>
      <c r="Q131" s="7">
        <v>0.73</v>
      </c>
      <c r="R131" s="7">
        <v>0.69</v>
      </c>
      <c r="S131" s="17">
        <v>0.21</v>
      </c>
      <c r="T131" s="18">
        <f t="shared" si="1"/>
        <v>0.37499999999999994</v>
      </c>
    </row>
    <row r="132" spans="2:20" x14ac:dyDescent="0.3">
      <c r="B132" s="7" t="s">
        <v>166</v>
      </c>
      <c r="C132" s="7" t="s">
        <v>349</v>
      </c>
      <c r="D132" s="7">
        <v>0</v>
      </c>
      <c r="E132" s="7">
        <v>0.71</v>
      </c>
      <c r="F132" s="7">
        <v>0</v>
      </c>
      <c r="G132" s="7">
        <v>0.61</v>
      </c>
      <c r="H132" s="7">
        <v>0.1</v>
      </c>
      <c r="I132" s="7">
        <v>0.68</v>
      </c>
      <c r="J132" s="7">
        <v>0.76</v>
      </c>
      <c r="K132" s="7">
        <v>7.0000000000000007E-2</v>
      </c>
      <c r="L132" s="7">
        <v>0.86</v>
      </c>
      <c r="M132" s="7">
        <v>0.79</v>
      </c>
      <c r="N132" s="7">
        <v>0.11</v>
      </c>
      <c r="O132" s="7">
        <v>0.5</v>
      </c>
      <c r="P132" s="7">
        <v>0.66</v>
      </c>
      <c r="Q132" s="7">
        <v>0</v>
      </c>
      <c r="R132" s="7">
        <v>0.57999999999999996</v>
      </c>
      <c r="S132" s="17">
        <v>0.98</v>
      </c>
      <c r="T132" s="18">
        <f t="shared" ref="T132:T195" si="2">AVERAGE(D132:S132)</f>
        <v>0.46312500000000001</v>
      </c>
    </row>
    <row r="133" spans="2:20" x14ac:dyDescent="0.3">
      <c r="B133" s="7" t="s">
        <v>167</v>
      </c>
      <c r="C133" s="7" t="s">
        <v>349</v>
      </c>
      <c r="D133" s="7">
        <v>0.49</v>
      </c>
      <c r="E133" s="7">
        <v>0</v>
      </c>
      <c r="F133" s="7">
        <v>0.09</v>
      </c>
      <c r="G133" s="7">
        <v>0.52</v>
      </c>
      <c r="H133" s="7">
        <v>0</v>
      </c>
      <c r="I133" s="7">
        <v>0.52</v>
      </c>
      <c r="J133" s="7">
        <v>0</v>
      </c>
      <c r="K133" s="7">
        <v>0.31</v>
      </c>
      <c r="L133" s="7">
        <v>0.95</v>
      </c>
      <c r="M133" s="7">
        <v>0.56000000000000005</v>
      </c>
      <c r="N133" s="7">
        <v>0.05</v>
      </c>
      <c r="O133" s="7">
        <v>0.88</v>
      </c>
      <c r="P133" s="7">
        <v>0.97</v>
      </c>
      <c r="Q133" s="7">
        <v>0</v>
      </c>
      <c r="R133" s="7">
        <v>0.78</v>
      </c>
      <c r="S133" s="17">
        <v>0</v>
      </c>
      <c r="T133" s="18">
        <f t="shared" si="2"/>
        <v>0.38250000000000001</v>
      </c>
    </row>
    <row r="134" spans="2:20" x14ac:dyDescent="0.3">
      <c r="B134" s="7" t="s">
        <v>168</v>
      </c>
      <c r="C134" s="7" t="s">
        <v>347</v>
      </c>
      <c r="D134" s="7">
        <v>0.24</v>
      </c>
      <c r="E134" s="7">
        <v>0.6</v>
      </c>
      <c r="F134" s="7">
        <v>0.61</v>
      </c>
      <c r="G134" s="7">
        <v>0.54</v>
      </c>
      <c r="H134" s="7">
        <v>0.44</v>
      </c>
      <c r="I134" s="7">
        <v>0.47</v>
      </c>
      <c r="J134" s="7">
        <v>0.09</v>
      </c>
      <c r="K134" s="7">
        <v>0.35</v>
      </c>
      <c r="L134" s="7">
        <v>0.16</v>
      </c>
      <c r="M134" s="7">
        <v>0.61</v>
      </c>
      <c r="N134" s="7">
        <v>0.34</v>
      </c>
      <c r="O134" s="7">
        <v>0.45</v>
      </c>
      <c r="P134" s="7">
        <v>0.5</v>
      </c>
      <c r="Q134" s="7">
        <v>0</v>
      </c>
      <c r="R134" s="7">
        <v>0.21</v>
      </c>
      <c r="S134" s="17">
        <v>0.24</v>
      </c>
      <c r="T134" s="18">
        <f t="shared" si="2"/>
        <v>0.36562500000000003</v>
      </c>
    </row>
    <row r="135" spans="2:20" x14ac:dyDescent="0.3">
      <c r="B135" s="7" t="s">
        <v>169</v>
      </c>
      <c r="C135" s="7" t="s">
        <v>344</v>
      </c>
      <c r="D135" s="7">
        <v>0.68</v>
      </c>
      <c r="E135" s="7">
        <v>0.26</v>
      </c>
      <c r="F135" s="7">
        <v>0.49</v>
      </c>
      <c r="G135" s="7">
        <v>0</v>
      </c>
      <c r="H135" s="7">
        <v>0</v>
      </c>
      <c r="I135" s="7">
        <v>0.53</v>
      </c>
      <c r="J135" s="7">
        <v>0.77</v>
      </c>
      <c r="K135" s="7">
        <v>0.66</v>
      </c>
      <c r="L135" s="7">
        <v>0.68</v>
      </c>
      <c r="M135" s="7">
        <v>0.69</v>
      </c>
      <c r="N135" s="7">
        <v>0.69</v>
      </c>
      <c r="O135" s="7">
        <v>0.28999999999999998</v>
      </c>
      <c r="P135" s="7">
        <v>0.8</v>
      </c>
      <c r="Q135" s="7">
        <v>0.12</v>
      </c>
      <c r="R135" s="7">
        <v>0</v>
      </c>
      <c r="S135" s="17">
        <v>0.7</v>
      </c>
      <c r="T135" s="18">
        <f t="shared" si="2"/>
        <v>0.45999999999999996</v>
      </c>
    </row>
    <row r="136" spans="2:20" x14ac:dyDescent="0.3">
      <c r="B136" s="7" t="s">
        <v>170</v>
      </c>
      <c r="C136" s="7" t="s">
        <v>347</v>
      </c>
      <c r="D136" s="7">
        <v>0.73</v>
      </c>
      <c r="E136" s="7">
        <v>0.76</v>
      </c>
      <c r="F136" s="7">
        <v>0.45</v>
      </c>
      <c r="G136" s="7">
        <v>0.35</v>
      </c>
      <c r="H136" s="7">
        <v>0.65</v>
      </c>
      <c r="I136" s="7">
        <v>0.3</v>
      </c>
      <c r="J136" s="7">
        <v>0.77</v>
      </c>
      <c r="K136" s="7">
        <v>0</v>
      </c>
      <c r="L136" s="7">
        <v>0.77</v>
      </c>
      <c r="M136" s="7">
        <v>0.83</v>
      </c>
      <c r="N136" s="7">
        <v>0.8</v>
      </c>
      <c r="O136" s="7">
        <v>0</v>
      </c>
      <c r="P136" s="7">
        <v>0.82</v>
      </c>
      <c r="Q136" s="7">
        <v>0.89</v>
      </c>
      <c r="R136" s="7">
        <v>0.44</v>
      </c>
      <c r="S136" s="17">
        <v>0.02</v>
      </c>
      <c r="T136" s="18">
        <f t="shared" si="2"/>
        <v>0.53624999999999989</v>
      </c>
    </row>
    <row r="137" spans="2:20" x14ac:dyDescent="0.3">
      <c r="B137" s="7" t="s">
        <v>171</v>
      </c>
      <c r="C137" s="7" t="s">
        <v>345</v>
      </c>
      <c r="D137" s="7">
        <v>0.2</v>
      </c>
      <c r="E137" s="7">
        <v>0.38</v>
      </c>
      <c r="F137" s="7">
        <v>0.61</v>
      </c>
      <c r="G137" s="7">
        <v>0.68</v>
      </c>
      <c r="H137" s="7">
        <v>0</v>
      </c>
      <c r="I137" s="7">
        <v>0.38</v>
      </c>
      <c r="J137" s="7">
        <v>7.0000000000000007E-2</v>
      </c>
      <c r="K137" s="7">
        <v>0.38</v>
      </c>
      <c r="L137" s="7">
        <v>0.37</v>
      </c>
      <c r="M137" s="7">
        <v>0.66</v>
      </c>
      <c r="N137" s="7">
        <v>0.1</v>
      </c>
      <c r="O137" s="7">
        <v>0.44</v>
      </c>
      <c r="P137" s="7">
        <v>0.64</v>
      </c>
      <c r="Q137" s="7">
        <v>0.87</v>
      </c>
      <c r="R137" s="7">
        <v>0.53</v>
      </c>
      <c r="S137" s="17">
        <v>0.56000000000000005</v>
      </c>
      <c r="T137" s="18">
        <f t="shared" si="2"/>
        <v>0.42937500000000006</v>
      </c>
    </row>
    <row r="138" spans="2:20" x14ac:dyDescent="0.3">
      <c r="B138" s="7" t="s">
        <v>172</v>
      </c>
      <c r="C138" s="7" t="s">
        <v>347</v>
      </c>
      <c r="D138" s="7">
        <v>0.75</v>
      </c>
      <c r="E138" s="7">
        <v>0.15</v>
      </c>
      <c r="F138" s="7">
        <v>0.16</v>
      </c>
      <c r="G138" s="7">
        <v>0</v>
      </c>
      <c r="H138" s="7">
        <v>0.03</v>
      </c>
      <c r="I138" s="7">
        <v>0.24</v>
      </c>
      <c r="J138" s="7">
        <v>0</v>
      </c>
      <c r="K138" s="7">
        <v>0.85</v>
      </c>
      <c r="L138" s="7">
        <v>0.22</v>
      </c>
      <c r="M138" s="7">
        <v>0.85</v>
      </c>
      <c r="N138" s="7">
        <v>0.05</v>
      </c>
      <c r="O138" s="7">
        <v>0.76</v>
      </c>
      <c r="P138" s="7">
        <v>0.17</v>
      </c>
      <c r="Q138" s="7">
        <v>0</v>
      </c>
      <c r="R138" s="7">
        <v>0.34</v>
      </c>
      <c r="S138" s="17">
        <v>0.53</v>
      </c>
      <c r="T138" s="18">
        <f t="shared" si="2"/>
        <v>0.31875000000000003</v>
      </c>
    </row>
    <row r="139" spans="2:20" x14ac:dyDescent="0.3">
      <c r="B139" s="7" t="s">
        <v>173</v>
      </c>
      <c r="C139" s="7" t="s">
        <v>346</v>
      </c>
      <c r="D139" s="7">
        <v>0</v>
      </c>
      <c r="E139" s="7">
        <v>0</v>
      </c>
      <c r="F139" s="7">
        <v>0.41</v>
      </c>
      <c r="G139" s="7">
        <v>0.09</v>
      </c>
      <c r="H139" s="7">
        <v>0.95</v>
      </c>
      <c r="I139" s="7">
        <v>0.57999999999999996</v>
      </c>
      <c r="J139" s="7">
        <v>0.02</v>
      </c>
      <c r="K139" s="7">
        <v>0.59</v>
      </c>
      <c r="L139" s="7">
        <v>0.47</v>
      </c>
      <c r="M139" s="7">
        <v>0</v>
      </c>
      <c r="N139" s="7">
        <v>0.04</v>
      </c>
      <c r="O139" s="7">
        <v>7.0000000000000007E-2</v>
      </c>
      <c r="P139" s="7">
        <v>0.11</v>
      </c>
      <c r="Q139" s="7">
        <v>0.6</v>
      </c>
      <c r="R139" s="7">
        <v>0</v>
      </c>
      <c r="S139" s="17">
        <v>0.7</v>
      </c>
      <c r="T139" s="18">
        <f t="shared" si="2"/>
        <v>0.28937499999999994</v>
      </c>
    </row>
    <row r="140" spans="2:20" x14ac:dyDescent="0.3">
      <c r="B140" s="7" t="s">
        <v>174</v>
      </c>
      <c r="C140" s="7" t="s">
        <v>346</v>
      </c>
      <c r="D140" s="7">
        <v>0.08</v>
      </c>
      <c r="E140" s="7">
        <v>0.64</v>
      </c>
      <c r="F140" s="7">
        <v>0.59</v>
      </c>
      <c r="G140" s="7">
        <v>0.08</v>
      </c>
      <c r="H140" s="7">
        <v>0.22</v>
      </c>
      <c r="I140" s="7">
        <v>0.54</v>
      </c>
      <c r="J140" s="7">
        <v>0.31</v>
      </c>
      <c r="K140" s="7">
        <v>0.71</v>
      </c>
      <c r="L140" s="7">
        <v>0.66</v>
      </c>
      <c r="M140" s="7">
        <v>0.62</v>
      </c>
      <c r="N140" s="7">
        <v>0.97</v>
      </c>
      <c r="O140" s="7">
        <v>0.69</v>
      </c>
      <c r="P140" s="7">
        <v>0.56000000000000005</v>
      </c>
      <c r="Q140" s="7">
        <v>0.56999999999999995</v>
      </c>
      <c r="R140" s="7">
        <v>0</v>
      </c>
      <c r="S140" s="17">
        <v>0</v>
      </c>
      <c r="T140" s="18">
        <f t="shared" si="2"/>
        <v>0.45250000000000001</v>
      </c>
    </row>
    <row r="141" spans="2:20" x14ac:dyDescent="0.3">
      <c r="B141" s="7" t="s">
        <v>175</v>
      </c>
      <c r="C141" s="7" t="s">
        <v>349</v>
      </c>
      <c r="D141" s="7">
        <v>0</v>
      </c>
      <c r="E141" s="7">
        <v>0.79</v>
      </c>
      <c r="F141" s="7">
        <v>0.53</v>
      </c>
      <c r="G141" s="7">
        <v>0.12</v>
      </c>
      <c r="H141" s="7">
        <v>0.22</v>
      </c>
      <c r="I141" s="7">
        <v>0</v>
      </c>
      <c r="J141" s="7">
        <v>0.51</v>
      </c>
      <c r="K141" s="7">
        <v>0.4</v>
      </c>
      <c r="L141" s="7">
        <v>0</v>
      </c>
      <c r="M141" s="7">
        <v>0.61</v>
      </c>
      <c r="N141" s="7">
        <v>0.21</v>
      </c>
      <c r="O141" s="7">
        <v>0.77</v>
      </c>
      <c r="P141" s="7">
        <v>0.5</v>
      </c>
      <c r="Q141" s="7">
        <v>0</v>
      </c>
      <c r="R141" s="7">
        <v>0.83</v>
      </c>
      <c r="S141" s="17">
        <v>0.32</v>
      </c>
      <c r="T141" s="18">
        <f t="shared" si="2"/>
        <v>0.36312500000000003</v>
      </c>
    </row>
    <row r="142" spans="2:20" x14ac:dyDescent="0.3">
      <c r="B142" s="7" t="s">
        <v>176</v>
      </c>
      <c r="C142" s="7" t="s">
        <v>348</v>
      </c>
      <c r="D142" s="7">
        <v>0.44</v>
      </c>
      <c r="E142" s="7">
        <v>0.56999999999999995</v>
      </c>
      <c r="F142" s="7">
        <v>0.06</v>
      </c>
      <c r="G142" s="7">
        <v>0.62</v>
      </c>
      <c r="H142" s="7">
        <v>0.7</v>
      </c>
      <c r="I142" s="7">
        <v>0</v>
      </c>
      <c r="J142" s="7">
        <v>0.04</v>
      </c>
      <c r="K142" s="7">
        <v>0.33</v>
      </c>
      <c r="L142" s="7">
        <v>0.71</v>
      </c>
      <c r="M142" s="7">
        <v>0.22</v>
      </c>
      <c r="N142" s="7">
        <v>0.26</v>
      </c>
      <c r="O142" s="7">
        <v>0.04</v>
      </c>
      <c r="P142" s="7">
        <v>0.75</v>
      </c>
      <c r="Q142" s="7">
        <v>0.4</v>
      </c>
      <c r="R142" s="7">
        <v>0</v>
      </c>
      <c r="S142" s="17">
        <v>0.14000000000000001</v>
      </c>
      <c r="T142" s="18">
        <f t="shared" si="2"/>
        <v>0.33</v>
      </c>
    </row>
    <row r="143" spans="2:20" x14ac:dyDescent="0.3">
      <c r="B143" s="7" t="s">
        <v>177</v>
      </c>
      <c r="C143" s="7" t="s">
        <v>348</v>
      </c>
      <c r="D143" s="7">
        <v>0.15</v>
      </c>
      <c r="E143" s="7">
        <v>0.06</v>
      </c>
      <c r="F143" s="7">
        <v>0.73</v>
      </c>
      <c r="G143" s="7">
        <v>0</v>
      </c>
      <c r="H143" s="7">
        <v>0.09</v>
      </c>
      <c r="I143" s="7">
        <v>1</v>
      </c>
      <c r="J143" s="7">
        <v>0.94</v>
      </c>
      <c r="K143" s="7">
        <v>0.23</v>
      </c>
      <c r="L143" s="7">
        <v>0</v>
      </c>
      <c r="M143" s="7">
        <v>0.01</v>
      </c>
      <c r="N143" s="7">
        <v>0.98</v>
      </c>
      <c r="O143" s="7">
        <v>0.54</v>
      </c>
      <c r="P143" s="7">
        <v>0.75</v>
      </c>
      <c r="Q143" s="7">
        <v>0.92</v>
      </c>
      <c r="R143" s="7">
        <v>0.99</v>
      </c>
      <c r="S143" s="17">
        <v>0.17</v>
      </c>
      <c r="T143" s="18">
        <f t="shared" si="2"/>
        <v>0.47249999999999998</v>
      </c>
    </row>
    <row r="144" spans="2:20" x14ac:dyDescent="0.3">
      <c r="B144" s="7" t="s">
        <v>178</v>
      </c>
      <c r="C144" s="7" t="s">
        <v>347</v>
      </c>
      <c r="D144" s="7">
        <v>0.53</v>
      </c>
      <c r="E144" s="7">
        <v>0</v>
      </c>
      <c r="F144" s="7">
        <v>0.28000000000000003</v>
      </c>
      <c r="G144" s="7">
        <v>0.94</v>
      </c>
      <c r="H144" s="7">
        <v>0</v>
      </c>
      <c r="I144" s="7">
        <v>0.53</v>
      </c>
      <c r="J144" s="7">
        <v>0</v>
      </c>
      <c r="K144" s="7">
        <v>0.66</v>
      </c>
      <c r="L144" s="7">
        <v>0.53</v>
      </c>
      <c r="M144" s="7">
        <v>0.64</v>
      </c>
      <c r="N144" s="7">
        <v>0</v>
      </c>
      <c r="O144" s="7">
        <v>0.51</v>
      </c>
      <c r="P144" s="7">
        <v>0.4</v>
      </c>
      <c r="Q144" s="7">
        <v>0.22</v>
      </c>
      <c r="R144" s="7">
        <v>0</v>
      </c>
      <c r="S144" s="17">
        <v>0.4</v>
      </c>
      <c r="T144" s="18">
        <f t="shared" si="2"/>
        <v>0.35250000000000004</v>
      </c>
    </row>
    <row r="145" spans="2:20" x14ac:dyDescent="0.3">
      <c r="B145" s="7" t="s">
        <v>179</v>
      </c>
      <c r="C145" s="7" t="s">
        <v>348</v>
      </c>
      <c r="D145" s="7">
        <v>0</v>
      </c>
      <c r="E145" s="7">
        <v>0.78</v>
      </c>
      <c r="F145" s="7">
        <v>0</v>
      </c>
      <c r="G145" s="7">
        <v>0.26</v>
      </c>
      <c r="H145" s="7">
        <v>0.69</v>
      </c>
      <c r="I145" s="7">
        <v>0.55000000000000004</v>
      </c>
      <c r="J145" s="7">
        <v>0.56999999999999995</v>
      </c>
      <c r="K145" s="7">
        <v>0</v>
      </c>
      <c r="L145" s="7">
        <v>0.75</v>
      </c>
      <c r="M145" s="7">
        <v>0.37</v>
      </c>
      <c r="N145" s="7">
        <v>0.1</v>
      </c>
      <c r="O145" s="7">
        <v>7.0000000000000007E-2</v>
      </c>
      <c r="P145" s="7">
        <v>0.8</v>
      </c>
      <c r="Q145" s="7">
        <v>0</v>
      </c>
      <c r="R145" s="7">
        <v>0</v>
      </c>
      <c r="S145" s="17">
        <v>0.62</v>
      </c>
      <c r="T145" s="18">
        <f t="shared" si="2"/>
        <v>0.34750000000000003</v>
      </c>
    </row>
    <row r="146" spans="2:20" x14ac:dyDescent="0.3">
      <c r="B146" s="7" t="s">
        <v>180</v>
      </c>
      <c r="C146" s="7" t="s">
        <v>348</v>
      </c>
      <c r="D146" s="7">
        <v>0.1</v>
      </c>
      <c r="E146" s="7">
        <v>0.24</v>
      </c>
      <c r="F146" s="7">
        <v>0</v>
      </c>
      <c r="G146" s="7">
        <v>0.94</v>
      </c>
      <c r="H146" s="7">
        <v>0.97</v>
      </c>
      <c r="I146" s="7">
        <v>0.76</v>
      </c>
      <c r="J146" s="7">
        <v>0.84</v>
      </c>
      <c r="K146" s="7">
        <v>0.68</v>
      </c>
      <c r="L146" s="7">
        <v>0.89</v>
      </c>
      <c r="M146" s="7">
        <v>0.19</v>
      </c>
      <c r="N146" s="7">
        <v>0.16</v>
      </c>
      <c r="O146" s="7">
        <v>0.91</v>
      </c>
      <c r="P146" s="7">
        <v>0.85</v>
      </c>
      <c r="Q146" s="7">
        <v>0.3</v>
      </c>
      <c r="R146" s="7">
        <v>0.31</v>
      </c>
      <c r="S146" s="17">
        <v>0</v>
      </c>
      <c r="T146" s="18">
        <f t="shared" si="2"/>
        <v>0.50874999999999992</v>
      </c>
    </row>
    <row r="147" spans="2:20" x14ac:dyDescent="0.3">
      <c r="B147" s="7" t="s">
        <v>181</v>
      </c>
      <c r="C147" s="7" t="s">
        <v>345</v>
      </c>
      <c r="D147" s="7">
        <v>0</v>
      </c>
      <c r="E147" s="7">
        <v>0.15</v>
      </c>
      <c r="F147" s="7">
        <v>0.05</v>
      </c>
      <c r="G147" s="7">
        <v>0.14000000000000001</v>
      </c>
      <c r="H147" s="7">
        <v>0.56999999999999995</v>
      </c>
      <c r="I147" s="7">
        <v>0.62</v>
      </c>
      <c r="J147" s="7">
        <v>0.74</v>
      </c>
      <c r="K147" s="7">
        <v>0</v>
      </c>
      <c r="L147" s="7">
        <v>0.86</v>
      </c>
      <c r="M147" s="7">
        <v>0</v>
      </c>
      <c r="N147" s="7">
        <v>0.59</v>
      </c>
      <c r="O147" s="7">
        <v>0</v>
      </c>
      <c r="P147" s="7">
        <v>0</v>
      </c>
      <c r="Q147" s="7">
        <v>0.45</v>
      </c>
      <c r="R147" s="7">
        <v>0.51</v>
      </c>
      <c r="S147" s="17">
        <v>0.79</v>
      </c>
      <c r="T147" s="18">
        <f t="shared" si="2"/>
        <v>0.34187499999999993</v>
      </c>
    </row>
    <row r="148" spans="2:20" x14ac:dyDescent="0.3">
      <c r="B148" s="7" t="s">
        <v>182</v>
      </c>
      <c r="C148" s="7" t="s">
        <v>348</v>
      </c>
      <c r="D148" s="7">
        <v>0.34</v>
      </c>
      <c r="E148" s="7">
        <v>0.56999999999999995</v>
      </c>
      <c r="F148" s="7">
        <v>0.52</v>
      </c>
      <c r="G148" s="7">
        <v>0.32</v>
      </c>
      <c r="H148" s="7">
        <v>0</v>
      </c>
      <c r="I148" s="7">
        <v>0</v>
      </c>
      <c r="J148" s="7">
        <v>0</v>
      </c>
      <c r="K148" s="7">
        <v>0.2</v>
      </c>
      <c r="L148" s="7">
        <v>0.93</v>
      </c>
      <c r="M148" s="7">
        <v>0.28000000000000003</v>
      </c>
      <c r="N148" s="7">
        <v>0.45</v>
      </c>
      <c r="O148" s="7">
        <v>0</v>
      </c>
      <c r="P148" s="7">
        <v>0.44</v>
      </c>
      <c r="Q148" s="7">
        <v>0.92</v>
      </c>
      <c r="R148" s="7">
        <v>0.45</v>
      </c>
      <c r="S148" s="17">
        <v>0.32</v>
      </c>
      <c r="T148" s="18">
        <f t="shared" si="2"/>
        <v>0.35875000000000007</v>
      </c>
    </row>
    <row r="149" spans="2:20" x14ac:dyDescent="0.3">
      <c r="B149" s="7" t="s">
        <v>183</v>
      </c>
      <c r="C149" s="7" t="s">
        <v>346</v>
      </c>
      <c r="D149" s="7">
        <v>0.35</v>
      </c>
      <c r="E149" s="7">
        <v>0.96</v>
      </c>
      <c r="F149" s="7">
        <v>0.4</v>
      </c>
      <c r="G149" s="7">
        <v>0</v>
      </c>
      <c r="H149" s="7">
        <v>0.96</v>
      </c>
      <c r="I149" s="7">
        <v>0.77</v>
      </c>
      <c r="J149" s="7">
        <v>0.43</v>
      </c>
      <c r="K149" s="7">
        <v>0.2</v>
      </c>
      <c r="L149" s="7">
        <v>0.72</v>
      </c>
      <c r="M149" s="7">
        <v>0</v>
      </c>
      <c r="N149" s="7">
        <v>0</v>
      </c>
      <c r="O149" s="7">
        <v>0.28999999999999998</v>
      </c>
      <c r="P149" s="7">
        <v>0.53</v>
      </c>
      <c r="Q149" s="7">
        <v>0.02</v>
      </c>
      <c r="R149" s="7">
        <v>0.44</v>
      </c>
      <c r="S149" s="17">
        <v>0.71</v>
      </c>
      <c r="T149" s="18">
        <f t="shared" si="2"/>
        <v>0.42375000000000002</v>
      </c>
    </row>
    <row r="150" spans="2:20" x14ac:dyDescent="0.3">
      <c r="B150" s="7" t="s">
        <v>184</v>
      </c>
      <c r="C150" s="7" t="s">
        <v>347</v>
      </c>
      <c r="D150" s="7">
        <v>0.78</v>
      </c>
      <c r="E150" s="7">
        <v>0.11</v>
      </c>
      <c r="F150" s="7">
        <v>0.71</v>
      </c>
      <c r="G150" s="7">
        <v>0.99</v>
      </c>
      <c r="H150" s="7">
        <v>0</v>
      </c>
      <c r="I150" s="7">
        <v>0.41</v>
      </c>
      <c r="J150" s="7">
        <v>0.83</v>
      </c>
      <c r="K150" s="7">
        <v>0.98</v>
      </c>
      <c r="L150" s="7">
        <v>0</v>
      </c>
      <c r="M150" s="7">
        <v>0</v>
      </c>
      <c r="N150" s="7">
        <v>0</v>
      </c>
      <c r="O150" s="7">
        <v>0</v>
      </c>
      <c r="P150" s="7">
        <v>0.51</v>
      </c>
      <c r="Q150" s="7">
        <v>0.92</v>
      </c>
      <c r="R150" s="7">
        <v>0.49</v>
      </c>
      <c r="S150" s="17">
        <v>0.38</v>
      </c>
      <c r="T150" s="18">
        <f t="shared" si="2"/>
        <v>0.44437500000000002</v>
      </c>
    </row>
    <row r="151" spans="2:20" x14ac:dyDescent="0.3">
      <c r="B151" s="7" t="s">
        <v>185</v>
      </c>
      <c r="C151" s="7" t="s">
        <v>346</v>
      </c>
      <c r="D151" s="7">
        <v>0.62</v>
      </c>
      <c r="E151" s="7">
        <v>0.25</v>
      </c>
      <c r="F151" s="7">
        <v>0.43</v>
      </c>
      <c r="G151" s="7">
        <v>0.55000000000000004</v>
      </c>
      <c r="H151" s="7">
        <v>0.17</v>
      </c>
      <c r="I151" s="7">
        <v>0.32</v>
      </c>
      <c r="J151" s="7">
        <v>0</v>
      </c>
      <c r="K151" s="7">
        <v>0.87</v>
      </c>
      <c r="L151" s="7">
        <v>0.94</v>
      </c>
      <c r="M151" s="7">
        <v>0.47</v>
      </c>
      <c r="N151" s="7">
        <v>0.3</v>
      </c>
      <c r="O151" s="7">
        <v>0.99</v>
      </c>
      <c r="P151" s="7">
        <v>0.62</v>
      </c>
      <c r="Q151" s="7">
        <v>0.75</v>
      </c>
      <c r="R151" s="7">
        <v>0.81</v>
      </c>
      <c r="S151" s="17">
        <v>0.28999999999999998</v>
      </c>
      <c r="T151" s="18">
        <f t="shared" si="2"/>
        <v>0.52374999999999994</v>
      </c>
    </row>
    <row r="152" spans="2:20" x14ac:dyDescent="0.3">
      <c r="B152" s="7" t="s">
        <v>186</v>
      </c>
      <c r="C152" s="7" t="s">
        <v>347</v>
      </c>
      <c r="D152" s="7">
        <v>0.93</v>
      </c>
      <c r="E152" s="7">
        <v>0.85</v>
      </c>
      <c r="F152" s="7">
        <v>0.22</v>
      </c>
      <c r="G152" s="7">
        <v>0.49</v>
      </c>
      <c r="H152" s="7">
        <v>0.03</v>
      </c>
      <c r="I152" s="7">
        <v>0.63</v>
      </c>
      <c r="J152" s="7">
        <v>1</v>
      </c>
      <c r="K152" s="7">
        <v>0.13</v>
      </c>
      <c r="L152" s="7">
        <v>0.56000000000000005</v>
      </c>
      <c r="M152" s="7">
        <v>0.61</v>
      </c>
      <c r="N152" s="7">
        <v>0.66</v>
      </c>
      <c r="O152" s="7">
        <v>0.21</v>
      </c>
      <c r="P152" s="7">
        <v>0.88</v>
      </c>
      <c r="Q152" s="7">
        <v>0</v>
      </c>
      <c r="R152" s="7">
        <v>0.56000000000000005</v>
      </c>
      <c r="S152" s="17">
        <v>0.72</v>
      </c>
      <c r="T152" s="18">
        <f t="shared" si="2"/>
        <v>0.53</v>
      </c>
    </row>
    <row r="153" spans="2:20" x14ac:dyDescent="0.3">
      <c r="B153" s="7" t="s">
        <v>187</v>
      </c>
      <c r="C153" s="7" t="s">
        <v>346</v>
      </c>
      <c r="D153" s="7">
        <v>0</v>
      </c>
      <c r="E153" s="7">
        <v>0.26</v>
      </c>
      <c r="F153" s="7">
        <v>0.69</v>
      </c>
      <c r="G153" s="7">
        <v>0.31</v>
      </c>
      <c r="H153" s="7">
        <v>0.93</v>
      </c>
      <c r="I153" s="7">
        <v>0</v>
      </c>
      <c r="J153" s="7">
        <v>0.5</v>
      </c>
      <c r="K153" s="7">
        <v>0.37</v>
      </c>
      <c r="L153" s="7">
        <v>0.18</v>
      </c>
      <c r="M153" s="7">
        <v>0.04</v>
      </c>
      <c r="N153" s="7">
        <v>0</v>
      </c>
      <c r="O153" s="7">
        <v>0.77</v>
      </c>
      <c r="P153" s="7">
        <v>0.39</v>
      </c>
      <c r="Q153" s="7">
        <v>0.21</v>
      </c>
      <c r="R153" s="7">
        <v>0.03</v>
      </c>
      <c r="S153" s="17">
        <v>0.26</v>
      </c>
      <c r="T153" s="18">
        <f t="shared" si="2"/>
        <v>0.30875000000000002</v>
      </c>
    </row>
    <row r="154" spans="2:20" x14ac:dyDescent="0.3">
      <c r="B154" s="7" t="s">
        <v>188</v>
      </c>
      <c r="C154" s="7" t="s">
        <v>346</v>
      </c>
      <c r="D154" s="7">
        <v>0</v>
      </c>
      <c r="E154" s="7">
        <v>0.52</v>
      </c>
      <c r="F154" s="7">
        <v>0.35</v>
      </c>
      <c r="G154" s="7">
        <v>0.09</v>
      </c>
      <c r="H154" s="7">
        <v>0.56000000000000005</v>
      </c>
      <c r="I154" s="7">
        <v>7.0000000000000007E-2</v>
      </c>
      <c r="J154" s="7">
        <v>0.85</v>
      </c>
      <c r="K154" s="7">
        <v>0.74</v>
      </c>
      <c r="L154" s="7">
        <v>0.87</v>
      </c>
      <c r="M154" s="7">
        <v>0.37</v>
      </c>
      <c r="N154" s="7">
        <v>0.02</v>
      </c>
      <c r="O154" s="7">
        <v>0.37</v>
      </c>
      <c r="P154" s="7">
        <v>0.89</v>
      </c>
      <c r="Q154" s="7">
        <v>0.52</v>
      </c>
      <c r="R154" s="7">
        <v>0.66</v>
      </c>
      <c r="S154" s="17">
        <v>0.04</v>
      </c>
      <c r="T154" s="18">
        <f t="shared" si="2"/>
        <v>0.43249999999999994</v>
      </c>
    </row>
    <row r="155" spans="2:20" x14ac:dyDescent="0.3">
      <c r="B155" s="7" t="s">
        <v>189</v>
      </c>
      <c r="C155" s="7" t="s">
        <v>349</v>
      </c>
      <c r="D155" s="7">
        <v>0</v>
      </c>
      <c r="E155" s="7">
        <v>0.95</v>
      </c>
      <c r="F155" s="7">
        <v>0.66</v>
      </c>
      <c r="G155" s="7">
        <v>0.9</v>
      </c>
      <c r="H155" s="7">
        <v>0.85</v>
      </c>
      <c r="I155" s="7">
        <v>0.94</v>
      </c>
      <c r="J155" s="7">
        <v>0</v>
      </c>
      <c r="K155" s="7">
        <v>0.38</v>
      </c>
      <c r="L155" s="7">
        <v>0.12</v>
      </c>
      <c r="M155" s="7">
        <v>0.97</v>
      </c>
      <c r="N155" s="7">
        <v>0</v>
      </c>
      <c r="O155" s="7">
        <v>0.53</v>
      </c>
      <c r="P155" s="7">
        <v>0.11</v>
      </c>
      <c r="Q155" s="7">
        <v>7.0000000000000007E-2</v>
      </c>
      <c r="R155" s="7">
        <v>0.49</v>
      </c>
      <c r="S155" s="17">
        <v>0.81</v>
      </c>
      <c r="T155" s="18">
        <f t="shared" si="2"/>
        <v>0.48625000000000007</v>
      </c>
    </row>
    <row r="156" spans="2:20" x14ac:dyDescent="0.3">
      <c r="B156" s="7" t="s">
        <v>190</v>
      </c>
      <c r="C156" s="7" t="s">
        <v>347</v>
      </c>
      <c r="D156" s="7">
        <v>0</v>
      </c>
      <c r="E156" s="7">
        <v>0.04</v>
      </c>
      <c r="F156" s="7">
        <v>0</v>
      </c>
      <c r="G156" s="7">
        <v>0.95</v>
      </c>
      <c r="H156" s="7">
        <v>0.87</v>
      </c>
      <c r="I156" s="7">
        <v>0</v>
      </c>
      <c r="J156" s="7">
        <v>0.17</v>
      </c>
      <c r="K156" s="7">
        <v>0.7</v>
      </c>
      <c r="L156" s="7">
        <v>0.19</v>
      </c>
      <c r="M156" s="7">
        <v>0</v>
      </c>
      <c r="N156" s="7">
        <v>0</v>
      </c>
      <c r="O156" s="7">
        <v>0</v>
      </c>
      <c r="P156" s="7">
        <v>0.12</v>
      </c>
      <c r="Q156" s="7">
        <v>0.91</v>
      </c>
      <c r="R156" s="7">
        <v>0</v>
      </c>
      <c r="S156" s="17">
        <v>0.85</v>
      </c>
      <c r="T156" s="18">
        <f t="shared" si="2"/>
        <v>0.3</v>
      </c>
    </row>
    <row r="157" spans="2:20" x14ac:dyDescent="0.3">
      <c r="B157" s="7" t="s">
        <v>191</v>
      </c>
      <c r="C157" s="7" t="s">
        <v>344</v>
      </c>
      <c r="D157" s="7">
        <v>0.24</v>
      </c>
      <c r="E157" s="7">
        <v>0.25</v>
      </c>
      <c r="F157" s="7">
        <v>0</v>
      </c>
      <c r="G157" s="7">
        <v>0.59</v>
      </c>
      <c r="H157" s="7">
        <v>0.22</v>
      </c>
      <c r="I157" s="7">
        <v>0.88</v>
      </c>
      <c r="J157" s="7">
        <v>0.11</v>
      </c>
      <c r="K157" s="7">
        <v>0</v>
      </c>
      <c r="L157" s="7">
        <v>0.25</v>
      </c>
      <c r="M157" s="7">
        <v>0.71</v>
      </c>
      <c r="N157" s="7">
        <v>0.55000000000000004</v>
      </c>
      <c r="O157" s="7">
        <v>0.33</v>
      </c>
      <c r="P157" s="7">
        <v>0.33</v>
      </c>
      <c r="Q157" s="7">
        <v>0.73</v>
      </c>
      <c r="R157" s="7">
        <v>0.5</v>
      </c>
      <c r="S157" s="17">
        <v>0.48</v>
      </c>
      <c r="T157" s="18">
        <f t="shared" si="2"/>
        <v>0.385625</v>
      </c>
    </row>
    <row r="158" spans="2:20" x14ac:dyDescent="0.3">
      <c r="B158" s="7" t="s">
        <v>192</v>
      </c>
      <c r="C158" s="7" t="s">
        <v>347</v>
      </c>
      <c r="D158" s="7">
        <v>0.8</v>
      </c>
      <c r="E158" s="7">
        <v>1</v>
      </c>
      <c r="F158" s="7">
        <v>0</v>
      </c>
      <c r="G158" s="7">
        <v>0.56000000000000005</v>
      </c>
      <c r="H158" s="7">
        <v>0</v>
      </c>
      <c r="I158" s="7">
        <v>0.38</v>
      </c>
      <c r="J158" s="7">
        <v>0.52</v>
      </c>
      <c r="K158" s="7">
        <v>0.83</v>
      </c>
      <c r="L158" s="7">
        <v>0.94</v>
      </c>
      <c r="M158" s="7">
        <v>0.64</v>
      </c>
      <c r="N158" s="7">
        <v>0.03</v>
      </c>
      <c r="O158" s="7">
        <v>0.68</v>
      </c>
      <c r="P158" s="7">
        <v>0.45</v>
      </c>
      <c r="Q158" s="7">
        <v>0.87</v>
      </c>
      <c r="R158" s="7">
        <v>0.79</v>
      </c>
      <c r="S158" s="17">
        <v>0.63</v>
      </c>
      <c r="T158" s="18">
        <f t="shared" si="2"/>
        <v>0.56999999999999995</v>
      </c>
    </row>
    <row r="159" spans="2:20" x14ac:dyDescent="0.3">
      <c r="B159" s="7" t="s">
        <v>193</v>
      </c>
      <c r="C159" s="7" t="s">
        <v>347</v>
      </c>
      <c r="D159" s="7">
        <v>0.12</v>
      </c>
      <c r="E159" s="7">
        <v>0.38</v>
      </c>
      <c r="F159" s="7">
        <v>0.14000000000000001</v>
      </c>
      <c r="G159" s="7">
        <v>0</v>
      </c>
      <c r="H159" s="7">
        <v>0.4</v>
      </c>
      <c r="I159" s="7">
        <v>0.96</v>
      </c>
      <c r="J159" s="7">
        <v>0.42</v>
      </c>
      <c r="K159" s="7">
        <v>0.76</v>
      </c>
      <c r="L159" s="7">
        <v>0</v>
      </c>
      <c r="M159" s="7">
        <v>0.66</v>
      </c>
      <c r="N159" s="7">
        <v>0</v>
      </c>
      <c r="O159" s="7">
        <v>0.51</v>
      </c>
      <c r="P159" s="7">
        <v>0.98</v>
      </c>
      <c r="Q159" s="7">
        <v>0.92</v>
      </c>
      <c r="R159" s="7">
        <v>0.76</v>
      </c>
      <c r="S159" s="17">
        <v>0.82</v>
      </c>
      <c r="T159" s="18">
        <f t="shared" si="2"/>
        <v>0.489375</v>
      </c>
    </row>
    <row r="160" spans="2:20" x14ac:dyDescent="0.3">
      <c r="B160" s="7" t="s">
        <v>194</v>
      </c>
      <c r="C160" s="7" t="s">
        <v>346</v>
      </c>
      <c r="D160" s="7">
        <v>0.16</v>
      </c>
      <c r="E160" s="7">
        <v>0.24</v>
      </c>
      <c r="F160" s="7">
        <v>0</v>
      </c>
      <c r="G160" s="7">
        <v>0.68</v>
      </c>
      <c r="H160" s="7">
        <v>0.35</v>
      </c>
      <c r="I160" s="7">
        <v>0</v>
      </c>
      <c r="J160" s="7">
        <v>0.28000000000000003</v>
      </c>
      <c r="K160" s="7">
        <v>0.41</v>
      </c>
      <c r="L160" s="7">
        <v>0.64</v>
      </c>
      <c r="M160" s="7">
        <v>0</v>
      </c>
      <c r="N160" s="7">
        <v>0.4</v>
      </c>
      <c r="O160" s="7">
        <v>0.99</v>
      </c>
      <c r="P160" s="7">
        <v>0.51</v>
      </c>
      <c r="Q160" s="7">
        <v>0.77</v>
      </c>
      <c r="R160" s="7">
        <v>0.27</v>
      </c>
      <c r="S160" s="17">
        <v>0</v>
      </c>
      <c r="T160" s="18">
        <f t="shared" si="2"/>
        <v>0.35624999999999996</v>
      </c>
    </row>
    <row r="161" spans="2:20" x14ac:dyDescent="0.3">
      <c r="B161" s="7" t="s">
        <v>195</v>
      </c>
      <c r="C161" s="7" t="s">
        <v>346</v>
      </c>
      <c r="D161" s="7">
        <v>0.35</v>
      </c>
      <c r="E161" s="7">
        <v>0.28000000000000003</v>
      </c>
      <c r="F161" s="7">
        <v>0</v>
      </c>
      <c r="G161" s="7">
        <v>0.73</v>
      </c>
      <c r="H161" s="7">
        <v>0.56999999999999995</v>
      </c>
      <c r="I161" s="7">
        <v>0.87</v>
      </c>
      <c r="J161" s="7">
        <v>0.55000000000000004</v>
      </c>
      <c r="K161" s="7">
        <v>0</v>
      </c>
      <c r="L161" s="7">
        <v>0</v>
      </c>
      <c r="M161" s="7">
        <v>0.03</v>
      </c>
      <c r="N161" s="7">
        <v>0.38</v>
      </c>
      <c r="O161" s="7">
        <v>0.53</v>
      </c>
      <c r="P161" s="7">
        <v>0.15</v>
      </c>
      <c r="Q161" s="7">
        <v>0.87</v>
      </c>
      <c r="R161" s="7">
        <v>0.28999999999999998</v>
      </c>
      <c r="S161" s="17">
        <v>0.63</v>
      </c>
      <c r="T161" s="18">
        <f t="shared" si="2"/>
        <v>0.38937499999999997</v>
      </c>
    </row>
    <row r="162" spans="2:20" x14ac:dyDescent="0.3">
      <c r="B162" s="7" t="s">
        <v>196</v>
      </c>
      <c r="C162" s="7" t="s">
        <v>345</v>
      </c>
      <c r="D162" s="7">
        <v>0.64</v>
      </c>
      <c r="E162" s="7">
        <v>0.15</v>
      </c>
      <c r="F162" s="7">
        <v>0.32</v>
      </c>
      <c r="G162" s="7">
        <v>0.5</v>
      </c>
      <c r="H162" s="7">
        <v>0</v>
      </c>
      <c r="I162" s="7">
        <v>0</v>
      </c>
      <c r="J162" s="7">
        <v>0.42</v>
      </c>
      <c r="K162" s="7">
        <v>0.32</v>
      </c>
      <c r="L162" s="7">
        <v>0.56999999999999995</v>
      </c>
      <c r="M162" s="7">
        <v>0.17</v>
      </c>
      <c r="N162" s="7">
        <v>0.12</v>
      </c>
      <c r="O162" s="7">
        <v>0</v>
      </c>
      <c r="P162" s="7">
        <v>0.96</v>
      </c>
      <c r="Q162" s="7">
        <v>0.63</v>
      </c>
      <c r="R162" s="7">
        <v>0</v>
      </c>
      <c r="S162" s="17">
        <v>0.74</v>
      </c>
      <c r="T162" s="18">
        <f t="shared" si="2"/>
        <v>0.34625</v>
      </c>
    </row>
    <row r="163" spans="2:20" x14ac:dyDescent="0.3">
      <c r="B163" s="7" t="s">
        <v>197</v>
      </c>
      <c r="C163" s="7" t="s">
        <v>347</v>
      </c>
      <c r="D163" s="7">
        <v>0.31</v>
      </c>
      <c r="E163" s="7">
        <v>0.67</v>
      </c>
      <c r="F163" s="7">
        <v>0.47</v>
      </c>
      <c r="G163" s="7">
        <v>0.68</v>
      </c>
      <c r="H163" s="7">
        <v>7.0000000000000007E-2</v>
      </c>
      <c r="I163" s="7">
        <v>0.32</v>
      </c>
      <c r="J163" s="7">
        <v>0.12</v>
      </c>
      <c r="K163" s="7">
        <v>0.6</v>
      </c>
      <c r="L163" s="7">
        <v>0.5</v>
      </c>
      <c r="M163" s="7">
        <v>0.57999999999999996</v>
      </c>
      <c r="N163" s="7">
        <v>0.92</v>
      </c>
      <c r="O163" s="7">
        <v>0.49</v>
      </c>
      <c r="P163" s="7">
        <v>0.88</v>
      </c>
      <c r="Q163" s="7">
        <v>0.14000000000000001</v>
      </c>
      <c r="R163" s="7">
        <v>0.43</v>
      </c>
      <c r="S163" s="17">
        <v>0.79</v>
      </c>
      <c r="T163" s="18">
        <f t="shared" si="2"/>
        <v>0.49812499999999993</v>
      </c>
    </row>
    <row r="164" spans="2:20" x14ac:dyDescent="0.3">
      <c r="B164" s="7" t="s">
        <v>198</v>
      </c>
      <c r="C164" s="7" t="s">
        <v>344</v>
      </c>
      <c r="D164" s="7">
        <v>0</v>
      </c>
      <c r="E164" s="7">
        <v>0.8</v>
      </c>
      <c r="F164" s="7">
        <v>0.6</v>
      </c>
      <c r="G164" s="7">
        <v>0.39</v>
      </c>
      <c r="H164" s="7">
        <v>0.75</v>
      </c>
      <c r="I164" s="7">
        <v>0.05</v>
      </c>
      <c r="J164" s="7">
        <v>0</v>
      </c>
      <c r="K164" s="7">
        <v>0.02</v>
      </c>
      <c r="L164" s="7">
        <v>0.88</v>
      </c>
      <c r="M164" s="7">
        <v>0.21</v>
      </c>
      <c r="N164" s="7">
        <v>0.98</v>
      </c>
      <c r="O164" s="7">
        <v>0.53</v>
      </c>
      <c r="P164" s="7">
        <v>0.27</v>
      </c>
      <c r="Q164" s="7">
        <v>0.43</v>
      </c>
      <c r="R164" s="7">
        <v>0.03</v>
      </c>
      <c r="S164" s="17">
        <v>0.23</v>
      </c>
      <c r="T164" s="18">
        <f t="shared" si="2"/>
        <v>0.38562500000000005</v>
      </c>
    </row>
    <row r="165" spans="2:20" x14ac:dyDescent="0.3">
      <c r="B165" s="7" t="s">
        <v>199</v>
      </c>
      <c r="C165" s="7" t="s">
        <v>349</v>
      </c>
      <c r="D165" s="7">
        <v>0.97</v>
      </c>
      <c r="E165" s="7">
        <v>0</v>
      </c>
      <c r="F165" s="7">
        <v>0.76</v>
      </c>
      <c r="G165" s="7">
        <v>0.59</v>
      </c>
      <c r="H165" s="7">
        <v>0.84</v>
      </c>
      <c r="I165" s="7">
        <v>0.92</v>
      </c>
      <c r="J165" s="7">
        <v>0.15</v>
      </c>
      <c r="K165" s="7">
        <v>0.39</v>
      </c>
      <c r="L165" s="7">
        <v>0.14000000000000001</v>
      </c>
      <c r="M165" s="7">
        <v>0.59</v>
      </c>
      <c r="N165" s="7">
        <v>0.03</v>
      </c>
      <c r="O165" s="7">
        <v>0</v>
      </c>
      <c r="P165" s="7">
        <v>0.43</v>
      </c>
      <c r="Q165" s="7">
        <v>0.42</v>
      </c>
      <c r="R165" s="7">
        <v>0.6</v>
      </c>
      <c r="S165" s="17">
        <v>0.16</v>
      </c>
      <c r="T165" s="18">
        <f t="shared" si="2"/>
        <v>0.43687499999999996</v>
      </c>
    </row>
    <row r="166" spans="2:20" x14ac:dyDescent="0.3">
      <c r="B166" s="7" t="s">
        <v>200</v>
      </c>
      <c r="C166" s="7" t="s">
        <v>346</v>
      </c>
      <c r="D166" s="7">
        <v>0</v>
      </c>
      <c r="E166" s="7">
        <v>0.65</v>
      </c>
      <c r="F166" s="7">
        <v>0.4</v>
      </c>
      <c r="G166" s="7">
        <v>0</v>
      </c>
      <c r="H166" s="7">
        <v>0.79</v>
      </c>
      <c r="I166" s="7">
        <v>0.96</v>
      </c>
      <c r="J166" s="7">
        <v>0.88</v>
      </c>
      <c r="K166" s="7">
        <v>0.88</v>
      </c>
      <c r="L166" s="7">
        <v>0.34</v>
      </c>
      <c r="M166" s="7">
        <v>0.27</v>
      </c>
      <c r="N166" s="7">
        <v>7.0000000000000007E-2</v>
      </c>
      <c r="O166" s="7">
        <v>0.42</v>
      </c>
      <c r="P166" s="7">
        <v>0.77</v>
      </c>
      <c r="Q166" s="7">
        <v>0.75</v>
      </c>
      <c r="R166" s="7">
        <v>0.72</v>
      </c>
      <c r="S166" s="17">
        <v>1</v>
      </c>
      <c r="T166" s="18">
        <f t="shared" si="2"/>
        <v>0.55624999999999991</v>
      </c>
    </row>
    <row r="167" spans="2:20" x14ac:dyDescent="0.3">
      <c r="B167" s="7" t="s">
        <v>201</v>
      </c>
      <c r="C167" s="7" t="s">
        <v>348</v>
      </c>
      <c r="D167" s="7">
        <v>0</v>
      </c>
      <c r="E167" s="7">
        <v>0.51</v>
      </c>
      <c r="F167" s="7">
        <v>0.5</v>
      </c>
      <c r="G167" s="7">
        <v>0</v>
      </c>
      <c r="H167" s="7">
        <v>0.86</v>
      </c>
      <c r="I167" s="7">
        <v>0.19</v>
      </c>
      <c r="J167" s="7">
        <v>0.88</v>
      </c>
      <c r="K167" s="7">
        <v>0</v>
      </c>
      <c r="L167" s="7">
        <v>0.17</v>
      </c>
      <c r="M167" s="7">
        <v>0.86</v>
      </c>
      <c r="N167" s="7">
        <v>0</v>
      </c>
      <c r="O167" s="7">
        <v>0.43</v>
      </c>
      <c r="P167" s="7">
        <v>0.1</v>
      </c>
      <c r="Q167" s="7">
        <v>0.3</v>
      </c>
      <c r="R167" s="7">
        <v>0.69</v>
      </c>
      <c r="S167" s="17">
        <v>0.08</v>
      </c>
      <c r="T167" s="18">
        <f t="shared" si="2"/>
        <v>0.34812499999999991</v>
      </c>
    </row>
    <row r="168" spans="2:20" x14ac:dyDescent="0.3">
      <c r="B168" s="7" t="s">
        <v>202</v>
      </c>
      <c r="C168" s="7" t="s">
        <v>346</v>
      </c>
      <c r="D168" s="7">
        <v>0</v>
      </c>
      <c r="E168" s="7">
        <v>0.39</v>
      </c>
      <c r="F168" s="7">
        <v>0</v>
      </c>
      <c r="G168" s="7">
        <v>0.28999999999999998</v>
      </c>
      <c r="H168" s="7">
        <v>0.56000000000000005</v>
      </c>
      <c r="I168" s="7">
        <v>0.88</v>
      </c>
      <c r="J168" s="7">
        <v>0.44</v>
      </c>
      <c r="K168" s="7">
        <v>0</v>
      </c>
      <c r="L168" s="7">
        <v>0.95</v>
      </c>
      <c r="M168" s="7">
        <v>0.7</v>
      </c>
      <c r="N168" s="7">
        <v>0.03</v>
      </c>
      <c r="O168" s="7">
        <v>0</v>
      </c>
      <c r="P168" s="7">
        <v>0</v>
      </c>
      <c r="Q168" s="7">
        <v>0</v>
      </c>
      <c r="R168" s="7">
        <v>0</v>
      </c>
      <c r="S168" s="17">
        <v>0.83</v>
      </c>
      <c r="T168" s="18">
        <f t="shared" si="2"/>
        <v>0.31687500000000002</v>
      </c>
    </row>
    <row r="169" spans="2:20" x14ac:dyDescent="0.3">
      <c r="B169" s="7" t="s">
        <v>203</v>
      </c>
      <c r="C169" s="7" t="s">
        <v>345</v>
      </c>
      <c r="D169" s="7">
        <v>0.64</v>
      </c>
      <c r="E169" s="7">
        <v>0.62</v>
      </c>
      <c r="F169" s="7">
        <v>0.53</v>
      </c>
      <c r="G169" s="7">
        <v>0</v>
      </c>
      <c r="H169" s="7">
        <v>0.11</v>
      </c>
      <c r="I169" s="7">
        <v>0.78</v>
      </c>
      <c r="J169" s="7">
        <v>0.4</v>
      </c>
      <c r="K169" s="7">
        <v>0.02</v>
      </c>
      <c r="L169" s="7">
        <v>0.89</v>
      </c>
      <c r="M169" s="7">
        <v>0.21</v>
      </c>
      <c r="N169" s="7">
        <v>0</v>
      </c>
      <c r="O169" s="7">
        <v>0.51</v>
      </c>
      <c r="P169" s="7">
        <v>0.64</v>
      </c>
      <c r="Q169" s="7">
        <v>0</v>
      </c>
      <c r="R169" s="7">
        <v>0</v>
      </c>
      <c r="S169" s="17">
        <v>0.98</v>
      </c>
      <c r="T169" s="18">
        <f t="shared" si="2"/>
        <v>0.395625</v>
      </c>
    </row>
    <row r="170" spans="2:20" x14ac:dyDescent="0.3">
      <c r="B170" s="7" t="s">
        <v>97</v>
      </c>
      <c r="C170" s="7" t="s">
        <v>346</v>
      </c>
      <c r="D170" s="7">
        <v>0.7</v>
      </c>
      <c r="E170" s="7">
        <v>0</v>
      </c>
      <c r="F170" s="7">
        <v>0.71</v>
      </c>
      <c r="G170" s="7">
        <v>0.48</v>
      </c>
      <c r="H170" s="7">
        <v>0.57999999999999996</v>
      </c>
      <c r="I170" s="7">
        <v>0</v>
      </c>
      <c r="J170" s="7">
        <v>0.14000000000000001</v>
      </c>
      <c r="K170" s="7">
        <v>0.99</v>
      </c>
      <c r="L170" s="7">
        <v>0</v>
      </c>
      <c r="M170" s="7">
        <v>7.0000000000000007E-2</v>
      </c>
      <c r="N170" s="7">
        <v>0.71</v>
      </c>
      <c r="O170" s="7">
        <v>0</v>
      </c>
      <c r="P170" s="7">
        <v>0.1</v>
      </c>
      <c r="Q170" s="7">
        <v>0</v>
      </c>
      <c r="R170" s="7">
        <v>0.34</v>
      </c>
      <c r="S170" s="17">
        <v>0.7</v>
      </c>
      <c r="T170" s="18">
        <f t="shared" si="2"/>
        <v>0.34499999999999992</v>
      </c>
    </row>
    <row r="171" spans="2:20" x14ac:dyDescent="0.3">
      <c r="B171" s="7" t="s">
        <v>204</v>
      </c>
      <c r="C171" s="7" t="s">
        <v>345</v>
      </c>
      <c r="D171" s="7">
        <v>0.65</v>
      </c>
      <c r="E171" s="7">
        <v>0.19</v>
      </c>
      <c r="F171" s="7">
        <v>0</v>
      </c>
      <c r="G171" s="7">
        <v>0.87</v>
      </c>
      <c r="H171" s="7">
        <v>0.26</v>
      </c>
      <c r="I171" s="7">
        <v>0</v>
      </c>
      <c r="J171" s="7">
        <v>0.23</v>
      </c>
      <c r="K171" s="7">
        <v>0.27</v>
      </c>
      <c r="L171" s="7">
        <v>0.16</v>
      </c>
      <c r="M171" s="7">
        <v>0.91</v>
      </c>
      <c r="N171" s="7">
        <v>0.66</v>
      </c>
      <c r="O171" s="7">
        <v>0</v>
      </c>
      <c r="P171" s="7">
        <v>0.01</v>
      </c>
      <c r="Q171" s="7">
        <v>0.66</v>
      </c>
      <c r="R171" s="7">
        <v>0.18</v>
      </c>
      <c r="S171" s="17">
        <v>0.56999999999999995</v>
      </c>
      <c r="T171" s="18">
        <f t="shared" si="2"/>
        <v>0.35125000000000001</v>
      </c>
    </row>
    <row r="172" spans="2:20" x14ac:dyDescent="0.3">
      <c r="B172" s="7" t="s">
        <v>205</v>
      </c>
      <c r="C172" s="7" t="s">
        <v>347</v>
      </c>
      <c r="D172" s="7">
        <v>0.68</v>
      </c>
      <c r="E172" s="7">
        <v>0.6</v>
      </c>
      <c r="F172" s="7">
        <v>0.11</v>
      </c>
      <c r="G172" s="7">
        <v>0.91</v>
      </c>
      <c r="H172" s="7">
        <v>0.83</v>
      </c>
      <c r="I172" s="7">
        <v>0.24</v>
      </c>
      <c r="J172" s="7">
        <v>0.84</v>
      </c>
      <c r="K172" s="7">
        <v>0.5</v>
      </c>
      <c r="L172" s="7">
        <v>0</v>
      </c>
      <c r="M172" s="7">
        <v>0.04</v>
      </c>
      <c r="N172" s="7">
        <v>0.74</v>
      </c>
      <c r="O172" s="7">
        <v>0.11</v>
      </c>
      <c r="P172" s="7">
        <v>0.04</v>
      </c>
      <c r="Q172" s="7">
        <v>0.45</v>
      </c>
      <c r="R172" s="7">
        <v>0.12</v>
      </c>
      <c r="S172" s="17">
        <v>0.01</v>
      </c>
      <c r="T172" s="18">
        <f t="shared" si="2"/>
        <v>0.38875000000000004</v>
      </c>
    </row>
    <row r="173" spans="2:20" x14ac:dyDescent="0.3">
      <c r="B173" s="7" t="s">
        <v>206</v>
      </c>
      <c r="C173" s="7" t="s">
        <v>345</v>
      </c>
      <c r="D173" s="7">
        <v>0.78</v>
      </c>
      <c r="E173" s="7">
        <v>0.94</v>
      </c>
      <c r="F173" s="7">
        <v>0.49</v>
      </c>
      <c r="G173" s="7">
        <v>7.0000000000000007E-2</v>
      </c>
      <c r="H173" s="7">
        <v>0.64</v>
      </c>
      <c r="I173" s="7">
        <v>0</v>
      </c>
      <c r="J173" s="7">
        <v>0.05</v>
      </c>
      <c r="K173" s="7">
        <v>0</v>
      </c>
      <c r="L173" s="7">
        <v>0.44</v>
      </c>
      <c r="M173" s="7">
        <v>0.64</v>
      </c>
      <c r="N173" s="7">
        <v>0</v>
      </c>
      <c r="O173" s="7">
        <v>0.47</v>
      </c>
      <c r="P173" s="7">
        <v>0.38</v>
      </c>
      <c r="Q173" s="7">
        <v>0</v>
      </c>
      <c r="R173" s="7">
        <v>0.24</v>
      </c>
      <c r="S173" s="17">
        <v>0.64</v>
      </c>
      <c r="T173" s="18">
        <f t="shared" si="2"/>
        <v>0.36124999999999996</v>
      </c>
    </row>
    <row r="174" spans="2:20" x14ac:dyDescent="0.3">
      <c r="B174" s="7" t="s">
        <v>207</v>
      </c>
      <c r="C174" s="7" t="s">
        <v>344</v>
      </c>
      <c r="D174" s="7">
        <v>0.65</v>
      </c>
      <c r="E174" s="7">
        <v>0.53</v>
      </c>
      <c r="F174" s="7">
        <v>0.19</v>
      </c>
      <c r="G174" s="7">
        <v>0.7</v>
      </c>
      <c r="H174" s="7">
        <v>0.98</v>
      </c>
      <c r="I174" s="7">
        <v>0</v>
      </c>
      <c r="J174" s="7">
        <v>0</v>
      </c>
      <c r="K174" s="7">
        <v>0</v>
      </c>
      <c r="L174" s="7">
        <v>0.06</v>
      </c>
      <c r="M174" s="7">
        <v>0</v>
      </c>
      <c r="N174" s="7">
        <v>0.96</v>
      </c>
      <c r="O174" s="7">
        <v>0.46</v>
      </c>
      <c r="P174" s="7">
        <v>0.27</v>
      </c>
      <c r="Q174" s="7">
        <v>0.81</v>
      </c>
      <c r="R174" s="7">
        <v>0</v>
      </c>
      <c r="S174" s="17">
        <v>0</v>
      </c>
      <c r="T174" s="18">
        <f t="shared" si="2"/>
        <v>0.35062500000000008</v>
      </c>
    </row>
    <row r="175" spans="2:20" x14ac:dyDescent="0.3">
      <c r="B175" s="7" t="s">
        <v>208</v>
      </c>
      <c r="C175" s="7" t="s">
        <v>349</v>
      </c>
      <c r="D175" s="7">
        <v>0.45</v>
      </c>
      <c r="E175" s="7">
        <v>0.21</v>
      </c>
      <c r="F175" s="7">
        <v>0</v>
      </c>
      <c r="G175" s="7">
        <v>0.41</v>
      </c>
      <c r="H175" s="7">
        <v>0</v>
      </c>
      <c r="I175" s="7">
        <v>0.91</v>
      </c>
      <c r="J175" s="7">
        <v>0.55000000000000004</v>
      </c>
      <c r="K175" s="7">
        <v>0.19</v>
      </c>
      <c r="L175" s="7">
        <v>0.95</v>
      </c>
      <c r="M175" s="7">
        <v>0.54</v>
      </c>
      <c r="N175" s="7">
        <v>0.08</v>
      </c>
      <c r="O175" s="7">
        <v>0.48</v>
      </c>
      <c r="P175" s="7">
        <v>0.06</v>
      </c>
      <c r="Q175" s="7">
        <v>0.35</v>
      </c>
      <c r="R175" s="7">
        <v>0.6</v>
      </c>
      <c r="S175" s="17">
        <v>0.06</v>
      </c>
      <c r="T175" s="18">
        <f t="shared" si="2"/>
        <v>0.36499999999999988</v>
      </c>
    </row>
    <row r="176" spans="2:20" x14ac:dyDescent="0.3">
      <c r="B176" s="7" t="s">
        <v>209</v>
      </c>
      <c r="C176" s="7" t="s">
        <v>347</v>
      </c>
      <c r="D176" s="7">
        <v>7.0000000000000007E-2</v>
      </c>
      <c r="E176" s="7">
        <v>0.25</v>
      </c>
      <c r="F176" s="7">
        <v>0.61</v>
      </c>
      <c r="G176" s="7">
        <v>0.46</v>
      </c>
      <c r="H176" s="7">
        <v>0.36</v>
      </c>
      <c r="I176" s="7">
        <v>0.91</v>
      </c>
      <c r="J176" s="7">
        <v>0.87</v>
      </c>
      <c r="K176" s="7">
        <v>0.5</v>
      </c>
      <c r="L176" s="7">
        <v>0.87</v>
      </c>
      <c r="M176" s="7">
        <v>0.52</v>
      </c>
      <c r="N176" s="7">
        <v>0.9</v>
      </c>
      <c r="O176" s="7">
        <v>0.26</v>
      </c>
      <c r="P176" s="7">
        <v>0.95</v>
      </c>
      <c r="Q176" s="7">
        <v>0.19</v>
      </c>
      <c r="R176" s="7">
        <v>0.44</v>
      </c>
      <c r="S176" s="17">
        <v>0</v>
      </c>
      <c r="T176" s="18">
        <f t="shared" si="2"/>
        <v>0.51</v>
      </c>
    </row>
    <row r="177" spans="2:20" x14ac:dyDescent="0.3">
      <c r="B177" s="7" t="s">
        <v>210</v>
      </c>
      <c r="C177" s="7" t="s">
        <v>347</v>
      </c>
      <c r="D177" s="7">
        <v>0</v>
      </c>
      <c r="E177" s="7">
        <v>0</v>
      </c>
      <c r="F177" s="7">
        <v>0.84</v>
      </c>
      <c r="G177" s="7">
        <v>0</v>
      </c>
      <c r="H177" s="7">
        <v>0.53</v>
      </c>
      <c r="I177" s="7">
        <v>0.5</v>
      </c>
      <c r="J177" s="7">
        <v>0.11</v>
      </c>
      <c r="K177" s="7">
        <v>0.51</v>
      </c>
      <c r="L177" s="7">
        <v>0.28000000000000003</v>
      </c>
      <c r="M177" s="7">
        <v>0</v>
      </c>
      <c r="N177" s="7">
        <v>0.91</v>
      </c>
      <c r="O177" s="7">
        <v>0.32</v>
      </c>
      <c r="P177" s="7">
        <v>0.91</v>
      </c>
      <c r="Q177" s="7">
        <v>0.54</v>
      </c>
      <c r="R177" s="7">
        <v>0.65</v>
      </c>
      <c r="S177" s="17">
        <v>0</v>
      </c>
      <c r="T177" s="18">
        <f t="shared" si="2"/>
        <v>0.38125000000000009</v>
      </c>
    </row>
    <row r="178" spans="2:20" x14ac:dyDescent="0.3">
      <c r="B178" s="7" t="s">
        <v>211</v>
      </c>
      <c r="C178" s="7" t="s">
        <v>347</v>
      </c>
      <c r="D178" s="7">
        <v>0.49</v>
      </c>
      <c r="E178" s="7">
        <v>0.42</v>
      </c>
      <c r="F178" s="7">
        <v>0.39</v>
      </c>
      <c r="G178" s="7">
        <v>0.71</v>
      </c>
      <c r="H178" s="7">
        <v>0.56000000000000005</v>
      </c>
      <c r="I178" s="7">
        <v>0.43</v>
      </c>
      <c r="J178" s="7">
        <v>0.42</v>
      </c>
      <c r="K178" s="7">
        <v>0.41</v>
      </c>
      <c r="L178" s="7">
        <v>0.68</v>
      </c>
      <c r="M178" s="7">
        <v>0</v>
      </c>
      <c r="N178" s="7">
        <v>0.51</v>
      </c>
      <c r="O178" s="7">
        <v>0.9</v>
      </c>
      <c r="P178" s="7">
        <v>0.13</v>
      </c>
      <c r="Q178" s="7">
        <v>0.17</v>
      </c>
      <c r="R178" s="7">
        <v>0.56999999999999995</v>
      </c>
      <c r="S178" s="17">
        <v>0.19</v>
      </c>
      <c r="T178" s="18">
        <f t="shared" si="2"/>
        <v>0.43625000000000003</v>
      </c>
    </row>
    <row r="179" spans="2:20" x14ac:dyDescent="0.3">
      <c r="B179" s="7" t="s">
        <v>212</v>
      </c>
      <c r="C179" s="7" t="s">
        <v>347</v>
      </c>
      <c r="D179" s="7">
        <v>0</v>
      </c>
      <c r="E179" s="7">
        <v>0.47</v>
      </c>
      <c r="F179" s="7">
        <v>0.78</v>
      </c>
      <c r="G179" s="7">
        <v>0.03</v>
      </c>
      <c r="H179" s="7">
        <v>0.04</v>
      </c>
      <c r="I179" s="7">
        <v>0.74</v>
      </c>
      <c r="J179" s="7">
        <v>0.76</v>
      </c>
      <c r="K179" s="7">
        <v>0.97</v>
      </c>
      <c r="L179" s="7">
        <v>0.48</v>
      </c>
      <c r="M179" s="7">
        <v>1</v>
      </c>
      <c r="N179" s="7">
        <v>0.62</v>
      </c>
      <c r="O179" s="7">
        <v>0.68</v>
      </c>
      <c r="P179" s="7">
        <v>0</v>
      </c>
      <c r="Q179" s="7">
        <v>0</v>
      </c>
      <c r="R179" s="7">
        <v>0</v>
      </c>
      <c r="S179" s="17">
        <v>0</v>
      </c>
      <c r="T179" s="18">
        <f t="shared" si="2"/>
        <v>0.41062499999999996</v>
      </c>
    </row>
    <row r="180" spans="2:20" x14ac:dyDescent="0.3">
      <c r="B180" s="7" t="s">
        <v>213</v>
      </c>
      <c r="C180" s="7" t="s">
        <v>344</v>
      </c>
      <c r="D180" s="7">
        <v>7.0000000000000007E-2</v>
      </c>
      <c r="E180" s="7">
        <v>0.19</v>
      </c>
      <c r="F180" s="7">
        <v>0</v>
      </c>
      <c r="G180" s="7">
        <v>0</v>
      </c>
      <c r="H180" s="7">
        <v>0.31</v>
      </c>
      <c r="I180" s="7">
        <v>0.01</v>
      </c>
      <c r="J180" s="7">
        <v>0.45</v>
      </c>
      <c r="K180" s="7">
        <v>0.56000000000000005</v>
      </c>
      <c r="L180" s="7">
        <v>0.08</v>
      </c>
      <c r="M180" s="7">
        <v>0.98</v>
      </c>
      <c r="N180" s="7">
        <v>0.71</v>
      </c>
      <c r="O180" s="7">
        <v>0.62</v>
      </c>
      <c r="P180" s="7">
        <v>0</v>
      </c>
      <c r="Q180" s="7">
        <v>0.72</v>
      </c>
      <c r="R180" s="7">
        <v>0</v>
      </c>
      <c r="S180" s="17">
        <v>0</v>
      </c>
      <c r="T180" s="18">
        <f t="shared" si="2"/>
        <v>0.29375000000000001</v>
      </c>
    </row>
    <row r="181" spans="2:20" x14ac:dyDescent="0.3">
      <c r="B181" s="7" t="s">
        <v>214</v>
      </c>
      <c r="C181" s="7" t="s">
        <v>344</v>
      </c>
      <c r="D181" s="7">
        <v>0</v>
      </c>
      <c r="E181" s="7">
        <v>0</v>
      </c>
      <c r="F181" s="7">
        <v>0.48</v>
      </c>
      <c r="G181" s="7">
        <v>0</v>
      </c>
      <c r="H181" s="7">
        <v>0.18</v>
      </c>
      <c r="I181" s="7">
        <v>0.89</v>
      </c>
      <c r="J181" s="7">
        <v>0.49</v>
      </c>
      <c r="K181" s="7">
        <v>0.04</v>
      </c>
      <c r="L181" s="7">
        <v>0.98</v>
      </c>
      <c r="M181" s="7">
        <v>0.71</v>
      </c>
      <c r="N181" s="7">
        <v>0.85</v>
      </c>
      <c r="O181" s="7">
        <v>0.94</v>
      </c>
      <c r="P181" s="7">
        <v>0.26</v>
      </c>
      <c r="Q181" s="7">
        <v>0.09</v>
      </c>
      <c r="R181" s="7">
        <v>0.26</v>
      </c>
      <c r="S181" s="17">
        <v>0.28999999999999998</v>
      </c>
      <c r="T181" s="18">
        <f t="shared" si="2"/>
        <v>0.40375</v>
      </c>
    </row>
    <row r="182" spans="2:20" x14ac:dyDescent="0.3">
      <c r="B182" s="7" t="s">
        <v>215</v>
      </c>
      <c r="C182" s="7" t="s">
        <v>349</v>
      </c>
      <c r="D182" s="7">
        <v>0.99</v>
      </c>
      <c r="E182" s="7">
        <v>0</v>
      </c>
      <c r="F182" s="7">
        <v>0.15</v>
      </c>
      <c r="G182" s="7">
        <v>0.48</v>
      </c>
      <c r="H182" s="7">
        <v>0.56000000000000005</v>
      </c>
      <c r="I182" s="7">
        <v>0</v>
      </c>
      <c r="J182" s="7">
        <v>0.27</v>
      </c>
      <c r="K182" s="7">
        <v>7.0000000000000007E-2</v>
      </c>
      <c r="L182" s="7">
        <v>0.41</v>
      </c>
      <c r="M182" s="7">
        <v>0.01</v>
      </c>
      <c r="N182" s="7">
        <v>0.2</v>
      </c>
      <c r="O182" s="7">
        <v>0.26</v>
      </c>
      <c r="P182" s="7">
        <v>0.23</v>
      </c>
      <c r="Q182" s="7">
        <v>0</v>
      </c>
      <c r="R182" s="7">
        <v>0.81</v>
      </c>
      <c r="S182" s="17">
        <v>0.66</v>
      </c>
      <c r="T182" s="18">
        <f t="shared" si="2"/>
        <v>0.31874999999999998</v>
      </c>
    </row>
    <row r="183" spans="2:20" x14ac:dyDescent="0.3">
      <c r="B183" s="7" t="s">
        <v>216</v>
      </c>
      <c r="C183" s="7" t="s">
        <v>348</v>
      </c>
      <c r="D183" s="7">
        <v>0</v>
      </c>
      <c r="E183" s="7">
        <v>0.17</v>
      </c>
      <c r="F183" s="7">
        <v>0.41</v>
      </c>
      <c r="G183" s="7">
        <v>0.5</v>
      </c>
      <c r="H183" s="7">
        <v>0.19</v>
      </c>
      <c r="I183" s="7">
        <v>0.05</v>
      </c>
      <c r="J183" s="7">
        <v>0</v>
      </c>
      <c r="K183" s="7">
        <v>0.36</v>
      </c>
      <c r="L183" s="7">
        <v>0</v>
      </c>
      <c r="M183" s="7">
        <v>0.69</v>
      </c>
      <c r="N183" s="7">
        <v>7.0000000000000007E-2</v>
      </c>
      <c r="O183" s="7">
        <v>0.33</v>
      </c>
      <c r="P183" s="7">
        <v>0</v>
      </c>
      <c r="Q183" s="7">
        <v>0.39</v>
      </c>
      <c r="R183" s="7">
        <v>0</v>
      </c>
      <c r="S183" s="17">
        <v>0.24</v>
      </c>
      <c r="T183" s="18">
        <f t="shared" si="2"/>
        <v>0.21250000000000002</v>
      </c>
    </row>
    <row r="184" spans="2:20" x14ac:dyDescent="0.3">
      <c r="B184" s="7" t="s">
        <v>217</v>
      </c>
      <c r="C184" s="7" t="s">
        <v>346</v>
      </c>
      <c r="D184" s="7">
        <v>0.5</v>
      </c>
      <c r="E184" s="7">
        <v>0</v>
      </c>
      <c r="F184" s="7">
        <v>0.34</v>
      </c>
      <c r="G184" s="7">
        <v>0.75</v>
      </c>
      <c r="H184" s="7">
        <v>0.69</v>
      </c>
      <c r="I184" s="7">
        <v>0.18</v>
      </c>
      <c r="J184" s="7">
        <v>0</v>
      </c>
      <c r="K184" s="7">
        <v>0.69</v>
      </c>
      <c r="L184" s="7">
        <v>0.54</v>
      </c>
      <c r="M184" s="7">
        <v>0</v>
      </c>
      <c r="N184" s="7">
        <v>0.8</v>
      </c>
      <c r="O184" s="7">
        <v>0.51</v>
      </c>
      <c r="P184" s="7">
        <v>0.15</v>
      </c>
      <c r="Q184" s="7">
        <v>0</v>
      </c>
      <c r="R184" s="7">
        <v>0</v>
      </c>
      <c r="S184" s="17">
        <v>0</v>
      </c>
      <c r="T184" s="18">
        <f t="shared" si="2"/>
        <v>0.32187500000000002</v>
      </c>
    </row>
    <row r="185" spans="2:20" x14ac:dyDescent="0.3">
      <c r="B185" s="7" t="s">
        <v>218</v>
      </c>
      <c r="C185" s="7" t="s">
        <v>349</v>
      </c>
      <c r="D185" s="7">
        <v>1</v>
      </c>
      <c r="E185" s="7">
        <v>0.95</v>
      </c>
      <c r="F185" s="7">
        <v>0.16</v>
      </c>
      <c r="G185" s="7">
        <v>0</v>
      </c>
      <c r="H185" s="7">
        <v>0.66</v>
      </c>
      <c r="I185" s="7">
        <v>0.19</v>
      </c>
      <c r="J185" s="7">
        <v>0.72</v>
      </c>
      <c r="K185" s="7">
        <v>0.62</v>
      </c>
      <c r="L185" s="7">
        <v>0.98</v>
      </c>
      <c r="M185" s="7">
        <v>0.54</v>
      </c>
      <c r="N185" s="7">
        <v>0.78</v>
      </c>
      <c r="O185" s="7">
        <v>0.71</v>
      </c>
      <c r="P185" s="7">
        <v>0.88</v>
      </c>
      <c r="Q185" s="7">
        <v>0</v>
      </c>
      <c r="R185" s="7">
        <v>0.76</v>
      </c>
      <c r="S185" s="17">
        <v>0.11</v>
      </c>
      <c r="T185" s="18">
        <f t="shared" si="2"/>
        <v>0.56624999999999992</v>
      </c>
    </row>
    <row r="186" spans="2:20" x14ac:dyDescent="0.3">
      <c r="B186" s="7" t="s">
        <v>219</v>
      </c>
      <c r="C186" s="7" t="s">
        <v>347</v>
      </c>
      <c r="D186" s="7">
        <v>0.2</v>
      </c>
      <c r="E186" s="7">
        <v>0</v>
      </c>
      <c r="F186" s="7">
        <v>0</v>
      </c>
      <c r="G186" s="7">
        <v>0.98</v>
      </c>
      <c r="H186" s="7">
        <v>0.8</v>
      </c>
      <c r="I186" s="7">
        <v>0.21</v>
      </c>
      <c r="J186" s="7">
        <v>0.37</v>
      </c>
      <c r="K186" s="7">
        <v>0.22</v>
      </c>
      <c r="L186" s="7">
        <v>0.69</v>
      </c>
      <c r="M186" s="7">
        <v>0.21</v>
      </c>
      <c r="N186" s="7">
        <v>0.34</v>
      </c>
      <c r="O186" s="7">
        <v>0.54</v>
      </c>
      <c r="P186" s="7">
        <v>0</v>
      </c>
      <c r="Q186" s="7">
        <v>0.85</v>
      </c>
      <c r="R186" s="7">
        <v>0</v>
      </c>
      <c r="S186" s="17">
        <v>0.21</v>
      </c>
      <c r="T186" s="18">
        <f t="shared" si="2"/>
        <v>0.35125000000000001</v>
      </c>
    </row>
    <row r="187" spans="2:20" x14ac:dyDescent="0.3">
      <c r="B187" s="7" t="s">
        <v>220</v>
      </c>
      <c r="C187" s="7" t="s">
        <v>344</v>
      </c>
      <c r="D187" s="7">
        <v>0.88</v>
      </c>
      <c r="E187" s="7">
        <v>0.86</v>
      </c>
      <c r="F187" s="7">
        <v>0.5</v>
      </c>
      <c r="G187" s="7">
        <v>0.28000000000000003</v>
      </c>
      <c r="H187" s="7">
        <v>0.39</v>
      </c>
      <c r="I187" s="7">
        <v>0.72</v>
      </c>
      <c r="J187" s="7">
        <v>0.13</v>
      </c>
      <c r="K187" s="7">
        <v>0</v>
      </c>
      <c r="L187" s="7">
        <v>0.03</v>
      </c>
      <c r="M187" s="7">
        <v>0.18</v>
      </c>
      <c r="N187" s="7">
        <v>0.99</v>
      </c>
      <c r="O187" s="7">
        <v>0.82</v>
      </c>
      <c r="P187" s="7">
        <v>0.55000000000000004</v>
      </c>
      <c r="Q187" s="7">
        <v>0</v>
      </c>
      <c r="R187" s="7">
        <v>0.55000000000000004</v>
      </c>
      <c r="S187" s="17">
        <v>0.59</v>
      </c>
      <c r="T187" s="18">
        <f t="shared" si="2"/>
        <v>0.46687500000000004</v>
      </c>
    </row>
    <row r="188" spans="2:20" x14ac:dyDescent="0.3">
      <c r="B188" s="7" t="s">
        <v>221</v>
      </c>
      <c r="C188" s="7" t="s">
        <v>346</v>
      </c>
      <c r="D188" s="7">
        <v>0.31</v>
      </c>
      <c r="E188" s="7">
        <v>0.16</v>
      </c>
      <c r="F188" s="7">
        <v>1</v>
      </c>
      <c r="G188" s="7">
        <v>0.43</v>
      </c>
      <c r="H188" s="7">
        <v>0</v>
      </c>
      <c r="I188" s="7">
        <v>0.67</v>
      </c>
      <c r="J188" s="7">
        <v>0</v>
      </c>
      <c r="K188" s="7">
        <v>0</v>
      </c>
      <c r="L188" s="7">
        <v>0.38</v>
      </c>
      <c r="M188" s="7">
        <v>0.37</v>
      </c>
      <c r="N188" s="7">
        <v>0.82</v>
      </c>
      <c r="O188" s="7">
        <v>0.79</v>
      </c>
      <c r="P188" s="7">
        <v>0.12</v>
      </c>
      <c r="Q188" s="7">
        <v>0.97</v>
      </c>
      <c r="R188" s="7">
        <v>0.28999999999999998</v>
      </c>
      <c r="S188" s="17">
        <v>0</v>
      </c>
      <c r="T188" s="18">
        <f t="shared" si="2"/>
        <v>0.39437499999999998</v>
      </c>
    </row>
    <row r="189" spans="2:20" x14ac:dyDescent="0.3">
      <c r="B189" s="7" t="s">
        <v>222</v>
      </c>
      <c r="C189" s="7" t="s">
        <v>348</v>
      </c>
      <c r="D189" s="7">
        <v>0.32</v>
      </c>
      <c r="E189" s="7">
        <v>0.48</v>
      </c>
      <c r="F189" s="7">
        <v>0.6</v>
      </c>
      <c r="G189" s="7">
        <v>0.54</v>
      </c>
      <c r="H189" s="7">
        <v>0.36</v>
      </c>
      <c r="I189" s="7">
        <v>0.31</v>
      </c>
      <c r="J189" s="7">
        <v>0.92</v>
      </c>
      <c r="K189" s="7">
        <v>0.21</v>
      </c>
      <c r="L189" s="7">
        <v>0</v>
      </c>
      <c r="M189" s="7">
        <v>0</v>
      </c>
      <c r="N189" s="7">
        <v>0.28000000000000003</v>
      </c>
      <c r="O189" s="7">
        <v>0.2</v>
      </c>
      <c r="P189" s="7">
        <v>0</v>
      </c>
      <c r="Q189" s="7">
        <v>0.99</v>
      </c>
      <c r="R189" s="7">
        <v>0.26</v>
      </c>
      <c r="S189" s="17">
        <v>0.97</v>
      </c>
      <c r="T189" s="18">
        <f t="shared" si="2"/>
        <v>0.40249999999999997</v>
      </c>
    </row>
    <row r="190" spans="2:20" x14ac:dyDescent="0.3">
      <c r="B190" s="7" t="s">
        <v>223</v>
      </c>
      <c r="C190" s="7" t="s">
        <v>348</v>
      </c>
      <c r="D190" s="7">
        <v>0</v>
      </c>
      <c r="E190" s="7">
        <v>0.9</v>
      </c>
      <c r="F190" s="7">
        <v>0.04</v>
      </c>
      <c r="G190" s="7">
        <v>0.74</v>
      </c>
      <c r="H190" s="7">
        <v>0</v>
      </c>
      <c r="I190" s="7">
        <v>7.0000000000000007E-2</v>
      </c>
      <c r="J190" s="7">
        <v>0.11</v>
      </c>
      <c r="K190" s="7">
        <v>0</v>
      </c>
      <c r="L190" s="7">
        <v>0.92</v>
      </c>
      <c r="M190" s="7">
        <v>0.59</v>
      </c>
      <c r="N190" s="7">
        <v>7.0000000000000007E-2</v>
      </c>
      <c r="O190" s="7">
        <v>0.28000000000000003</v>
      </c>
      <c r="P190" s="7">
        <v>0.02</v>
      </c>
      <c r="Q190" s="7">
        <v>0</v>
      </c>
      <c r="R190" s="7">
        <v>0.22</v>
      </c>
      <c r="S190" s="17">
        <v>0</v>
      </c>
      <c r="T190" s="18">
        <f t="shared" si="2"/>
        <v>0.2475</v>
      </c>
    </row>
    <row r="191" spans="2:20" x14ac:dyDescent="0.3">
      <c r="B191" s="7" t="s">
        <v>224</v>
      </c>
      <c r="C191" s="7" t="s">
        <v>345</v>
      </c>
      <c r="D191" s="7">
        <v>0.46</v>
      </c>
      <c r="E191" s="7">
        <v>0.9</v>
      </c>
      <c r="F191" s="7">
        <v>0</v>
      </c>
      <c r="G191" s="7">
        <v>0.83</v>
      </c>
      <c r="H191" s="7">
        <v>0.11</v>
      </c>
      <c r="I191" s="7">
        <v>0.49</v>
      </c>
      <c r="J191" s="7">
        <v>0</v>
      </c>
      <c r="K191" s="7">
        <v>0</v>
      </c>
      <c r="L191" s="7">
        <v>0</v>
      </c>
      <c r="M191" s="7">
        <v>0.94</v>
      </c>
      <c r="N191" s="7">
        <v>0</v>
      </c>
      <c r="O191" s="7">
        <v>0.86</v>
      </c>
      <c r="P191" s="7">
        <v>0.1</v>
      </c>
      <c r="Q191" s="7">
        <v>0</v>
      </c>
      <c r="R191" s="7">
        <v>0.34</v>
      </c>
      <c r="S191" s="17">
        <v>0.81</v>
      </c>
      <c r="T191" s="18">
        <f t="shared" si="2"/>
        <v>0.36499999999999999</v>
      </c>
    </row>
    <row r="192" spans="2:20" x14ac:dyDescent="0.3">
      <c r="B192" s="7" t="s">
        <v>225</v>
      </c>
      <c r="C192" s="7" t="s">
        <v>344</v>
      </c>
      <c r="D192" s="7">
        <v>0.54</v>
      </c>
      <c r="E192" s="7">
        <v>0.22</v>
      </c>
      <c r="F192" s="7">
        <v>0.06</v>
      </c>
      <c r="G192" s="7">
        <v>0</v>
      </c>
      <c r="H192" s="7">
        <v>0.7</v>
      </c>
      <c r="I192" s="7">
        <v>0.97</v>
      </c>
      <c r="J192" s="7">
        <v>0.9</v>
      </c>
      <c r="K192" s="7">
        <v>0.99</v>
      </c>
      <c r="L192" s="7">
        <v>0.45</v>
      </c>
      <c r="M192" s="7">
        <v>0</v>
      </c>
      <c r="N192" s="7">
        <v>0.26</v>
      </c>
      <c r="O192" s="7">
        <v>0</v>
      </c>
      <c r="P192" s="7">
        <v>0.94</v>
      </c>
      <c r="Q192" s="7">
        <v>0.59</v>
      </c>
      <c r="R192" s="7">
        <v>0.87</v>
      </c>
      <c r="S192" s="17">
        <v>0.33</v>
      </c>
      <c r="T192" s="18">
        <f t="shared" si="2"/>
        <v>0.48874999999999996</v>
      </c>
    </row>
    <row r="193" spans="2:20" x14ac:dyDescent="0.3">
      <c r="B193" s="7" t="s">
        <v>226</v>
      </c>
      <c r="C193" s="7" t="s">
        <v>347</v>
      </c>
      <c r="D193" s="7">
        <v>0.94</v>
      </c>
      <c r="E193" s="7">
        <v>0.43</v>
      </c>
      <c r="F193" s="7">
        <v>0.56000000000000005</v>
      </c>
      <c r="G193" s="7">
        <v>0.77</v>
      </c>
      <c r="H193" s="7">
        <v>0</v>
      </c>
      <c r="I193" s="7">
        <v>0.03</v>
      </c>
      <c r="J193" s="7">
        <v>0.16</v>
      </c>
      <c r="K193" s="7">
        <v>0.59</v>
      </c>
      <c r="L193" s="7">
        <v>0.42</v>
      </c>
      <c r="M193" s="7">
        <v>0.34</v>
      </c>
      <c r="N193" s="7">
        <v>0</v>
      </c>
      <c r="O193" s="7">
        <v>0.9</v>
      </c>
      <c r="P193" s="7">
        <v>0.43</v>
      </c>
      <c r="Q193" s="7">
        <v>0</v>
      </c>
      <c r="R193" s="7">
        <v>0.05</v>
      </c>
      <c r="S193" s="17">
        <v>0.48</v>
      </c>
      <c r="T193" s="18">
        <f t="shared" si="2"/>
        <v>0.38124999999999998</v>
      </c>
    </row>
    <row r="194" spans="2:20" x14ac:dyDescent="0.3">
      <c r="B194" s="7" t="s">
        <v>227</v>
      </c>
      <c r="C194" s="7" t="s">
        <v>344</v>
      </c>
      <c r="D194" s="7">
        <v>0</v>
      </c>
      <c r="E194" s="7">
        <v>0.76</v>
      </c>
      <c r="F194" s="7">
        <v>0.19</v>
      </c>
      <c r="G194" s="7">
        <v>0.73</v>
      </c>
      <c r="H194" s="7">
        <v>0.21</v>
      </c>
      <c r="I194" s="7">
        <v>0</v>
      </c>
      <c r="J194" s="7">
        <v>0.37</v>
      </c>
      <c r="K194" s="7">
        <v>0.98</v>
      </c>
      <c r="L194" s="7">
        <v>0.97</v>
      </c>
      <c r="M194" s="7">
        <v>0.3</v>
      </c>
      <c r="N194" s="7">
        <v>7.0000000000000007E-2</v>
      </c>
      <c r="O194" s="7">
        <v>0.78</v>
      </c>
      <c r="P194" s="7">
        <v>0</v>
      </c>
      <c r="Q194" s="7">
        <v>0</v>
      </c>
      <c r="R194" s="7">
        <v>0.32</v>
      </c>
      <c r="S194" s="17">
        <v>0.09</v>
      </c>
      <c r="T194" s="18">
        <f t="shared" si="2"/>
        <v>0.36062500000000003</v>
      </c>
    </row>
    <row r="195" spans="2:20" x14ac:dyDescent="0.3">
      <c r="B195" s="7" t="s">
        <v>228</v>
      </c>
      <c r="C195" s="7" t="s">
        <v>346</v>
      </c>
      <c r="D195" s="7">
        <v>0.12</v>
      </c>
      <c r="E195" s="7">
        <v>0.6</v>
      </c>
      <c r="F195" s="7">
        <v>0.01</v>
      </c>
      <c r="G195" s="7">
        <v>0</v>
      </c>
      <c r="H195" s="7">
        <v>1</v>
      </c>
      <c r="I195" s="7">
        <v>0.53</v>
      </c>
      <c r="J195" s="7">
        <v>0.48</v>
      </c>
      <c r="K195" s="7">
        <v>0.54</v>
      </c>
      <c r="L195" s="7">
        <v>0.08</v>
      </c>
      <c r="M195" s="7">
        <v>0.62</v>
      </c>
      <c r="N195" s="7">
        <v>0.63</v>
      </c>
      <c r="O195" s="7">
        <v>0.6</v>
      </c>
      <c r="P195" s="7">
        <v>0.16</v>
      </c>
      <c r="Q195" s="7">
        <v>0</v>
      </c>
      <c r="R195" s="7">
        <v>0.06</v>
      </c>
      <c r="S195" s="17">
        <v>0.71</v>
      </c>
      <c r="T195" s="18">
        <f t="shared" si="2"/>
        <v>0.38374999999999998</v>
      </c>
    </row>
    <row r="196" spans="2:20" x14ac:dyDescent="0.3">
      <c r="B196" s="7" t="s">
        <v>229</v>
      </c>
      <c r="C196" s="7" t="s">
        <v>344</v>
      </c>
      <c r="D196" s="7">
        <v>0</v>
      </c>
      <c r="E196" s="7">
        <v>0.2</v>
      </c>
      <c r="F196" s="7">
        <v>0.36</v>
      </c>
      <c r="G196" s="7">
        <v>0.97</v>
      </c>
      <c r="H196" s="7">
        <v>0.16</v>
      </c>
      <c r="I196" s="7">
        <v>0</v>
      </c>
      <c r="J196" s="7">
        <v>0</v>
      </c>
      <c r="K196" s="7">
        <v>0.1</v>
      </c>
      <c r="L196" s="7">
        <v>0.68</v>
      </c>
      <c r="M196" s="7">
        <v>0.77</v>
      </c>
      <c r="N196" s="7">
        <v>0.42</v>
      </c>
      <c r="O196" s="7">
        <v>0</v>
      </c>
      <c r="P196" s="7">
        <v>0.03</v>
      </c>
      <c r="Q196" s="7">
        <v>0.42</v>
      </c>
      <c r="R196" s="7">
        <v>0.05</v>
      </c>
      <c r="S196" s="17">
        <v>0.9</v>
      </c>
      <c r="T196" s="18">
        <f t="shared" ref="T196:T259" si="3">AVERAGE(D196:S196)</f>
        <v>0.31625000000000003</v>
      </c>
    </row>
    <row r="197" spans="2:20" x14ac:dyDescent="0.3">
      <c r="B197" s="7" t="s">
        <v>230</v>
      </c>
      <c r="C197" s="7" t="s">
        <v>344</v>
      </c>
      <c r="D197" s="7">
        <v>0.32</v>
      </c>
      <c r="E197" s="7">
        <v>0.82</v>
      </c>
      <c r="F197" s="7">
        <v>0.42</v>
      </c>
      <c r="G197" s="7">
        <v>0.81</v>
      </c>
      <c r="H197" s="7">
        <v>0.75</v>
      </c>
      <c r="I197" s="7">
        <v>0.64</v>
      </c>
      <c r="J197" s="7">
        <v>0</v>
      </c>
      <c r="K197" s="7">
        <v>0.5</v>
      </c>
      <c r="L197" s="7">
        <v>0.01</v>
      </c>
      <c r="M197" s="7">
        <v>0.54</v>
      </c>
      <c r="N197" s="7">
        <v>0.41</v>
      </c>
      <c r="O197" s="7">
        <v>1</v>
      </c>
      <c r="P197" s="7">
        <v>0</v>
      </c>
      <c r="Q197" s="7">
        <v>7.0000000000000007E-2</v>
      </c>
      <c r="R197" s="7">
        <v>0.18</v>
      </c>
      <c r="S197" s="17">
        <v>0.52</v>
      </c>
      <c r="T197" s="18">
        <f t="shared" si="3"/>
        <v>0.43687500000000001</v>
      </c>
    </row>
    <row r="198" spans="2:20" x14ac:dyDescent="0.3">
      <c r="B198" s="7" t="s">
        <v>231</v>
      </c>
      <c r="C198" s="7" t="s">
        <v>346</v>
      </c>
      <c r="D198" s="7">
        <v>0.77</v>
      </c>
      <c r="E198" s="7">
        <v>0.37</v>
      </c>
      <c r="F198" s="7">
        <v>0</v>
      </c>
      <c r="G198" s="7">
        <v>0.17</v>
      </c>
      <c r="H198" s="7">
        <v>0</v>
      </c>
      <c r="I198" s="7">
        <v>0</v>
      </c>
      <c r="J198" s="7">
        <v>0.41</v>
      </c>
      <c r="K198" s="7">
        <v>0.97</v>
      </c>
      <c r="L198" s="7">
        <v>0.75</v>
      </c>
      <c r="M198" s="7">
        <v>0.2</v>
      </c>
      <c r="N198" s="7">
        <v>0</v>
      </c>
      <c r="O198" s="7">
        <v>0.94</v>
      </c>
      <c r="P198" s="7">
        <v>0</v>
      </c>
      <c r="Q198" s="7">
        <v>0.49</v>
      </c>
      <c r="R198" s="7">
        <v>0.43</v>
      </c>
      <c r="S198" s="17">
        <v>0</v>
      </c>
      <c r="T198" s="18">
        <f t="shared" si="3"/>
        <v>0.34375</v>
      </c>
    </row>
    <row r="199" spans="2:20" x14ac:dyDescent="0.3">
      <c r="B199" s="7" t="s">
        <v>232</v>
      </c>
      <c r="C199" s="7" t="s">
        <v>345</v>
      </c>
      <c r="D199" s="7">
        <v>0.88</v>
      </c>
      <c r="E199" s="7">
        <v>0.89</v>
      </c>
      <c r="F199" s="7">
        <v>0.32</v>
      </c>
      <c r="G199" s="7">
        <v>0.93</v>
      </c>
      <c r="H199" s="7">
        <v>0.85</v>
      </c>
      <c r="I199" s="7">
        <v>0.54</v>
      </c>
      <c r="J199" s="7">
        <v>0.94</v>
      </c>
      <c r="K199" s="7">
        <v>0.7</v>
      </c>
      <c r="L199" s="7">
        <v>0.16</v>
      </c>
      <c r="M199" s="7">
        <v>0</v>
      </c>
      <c r="N199" s="7">
        <v>0.48</v>
      </c>
      <c r="O199" s="7">
        <v>0.95</v>
      </c>
      <c r="P199" s="7">
        <v>0.87</v>
      </c>
      <c r="Q199" s="7">
        <v>0</v>
      </c>
      <c r="R199" s="7">
        <v>0</v>
      </c>
      <c r="S199" s="17">
        <v>0</v>
      </c>
      <c r="T199" s="18">
        <f t="shared" si="3"/>
        <v>0.53187499999999999</v>
      </c>
    </row>
    <row r="200" spans="2:20" x14ac:dyDescent="0.3">
      <c r="B200" s="7" t="s">
        <v>233</v>
      </c>
      <c r="C200" s="7" t="s">
        <v>347</v>
      </c>
      <c r="D200" s="7">
        <v>0.61</v>
      </c>
      <c r="E200" s="7">
        <v>0.62</v>
      </c>
      <c r="F200" s="7">
        <v>0.54</v>
      </c>
      <c r="G200" s="7">
        <v>0</v>
      </c>
      <c r="H200" s="7">
        <v>0.97</v>
      </c>
      <c r="I200" s="7">
        <v>0.45</v>
      </c>
      <c r="J200" s="7">
        <v>0.39</v>
      </c>
      <c r="K200" s="7">
        <v>0.46</v>
      </c>
      <c r="L200" s="7">
        <v>0.73</v>
      </c>
      <c r="M200" s="7">
        <v>0.67</v>
      </c>
      <c r="N200" s="7">
        <v>0.05</v>
      </c>
      <c r="O200" s="7">
        <v>0</v>
      </c>
      <c r="P200" s="7">
        <v>0.53</v>
      </c>
      <c r="Q200" s="7">
        <v>0.46</v>
      </c>
      <c r="R200" s="7">
        <v>0.68</v>
      </c>
      <c r="S200" s="17">
        <v>0.6</v>
      </c>
      <c r="T200" s="18">
        <f t="shared" si="3"/>
        <v>0.48500000000000004</v>
      </c>
    </row>
    <row r="201" spans="2:20" x14ac:dyDescent="0.3">
      <c r="B201" s="7" t="s">
        <v>234</v>
      </c>
      <c r="C201" s="7" t="s">
        <v>346</v>
      </c>
      <c r="D201" s="7">
        <v>0</v>
      </c>
      <c r="E201" s="7">
        <v>0.7</v>
      </c>
      <c r="F201" s="7">
        <v>0.19</v>
      </c>
      <c r="G201" s="7">
        <v>0.45</v>
      </c>
      <c r="H201" s="7">
        <v>0.83</v>
      </c>
      <c r="I201" s="7">
        <v>0.65</v>
      </c>
      <c r="J201" s="7">
        <v>0.15</v>
      </c>
      <c r="K201" s="7">
        <v>0.82</v>
      </c>
      <c r="L201" s="7">
        <v>0.87</v>
      </c>
      <c r="M201" s="7">
        <v>0.48</v>
      </c>
      <c r="N201" s="7">
        <v>0.5</v>
      </c>
      <c r="O201" s="7">
        <v>0.51</v>
      </c>
      <c r="P201" s="7">
        <v>0.84</v>
      </c>
      <c r="Q201" s="7">
        <v>0.21</v>
      </c>
      <c r="R201" s="7">
        <v>0</v>
      </c>
      <c r="S201" s="17">
        <v>0.31</v>
      </c>
      <c r="T201" s="18">
        <f t="shared" si="3"/>
        <v>0.46937499999999988</v>
      </c>
    </row>
    <row r="202" spans="2:20" x14ac:dyDescent="0.3">
      <c r="B202" s="7" t="s">
        <v>235</v>
      </c>
      <c r="C202" s="7" t="s">
        <v>348</v>
      </c>
      <c r="D202" s="7">
        <v>0.05</v>
      </c>
      <c r="E202" s="7">
        <v>0.62</v>
      </c>
      <c r="F202" s="7">
        <v>0.89</v>
      </c>
      <c r="G202" s="7">
        <v>0.56999999999999995</v>
      </c>
      <c r="H202" s="7">
        <v>0.19</v>
      </c>
      <c r="I202" s="7">
        <v>0.11</v>
      </c>
      <c r="J202" s="7">
        <v>0.92</v>
      </c>
      <c r="K202" s="7">
        <v>0</v>
      </c>
      <c r="L202" s="7">
        <v>0.03</v>
      </c>
      <c r="M202" s="7">
        <v>0.59</v>
      </c>
      <c r="N202" s="7">
        <v>0.81</v>
      </c>
      <c r="O202" s="7">
        <v>0</v>
      </c>
      <c r="P202" s="7">
        <v>0.25</v>
      </c>
      <c r="Q202" s="7">
        <v>0</v>
      </c>
      <c r="R202" s="7">
        <v>0.12</v>
      </c>
      <c r="S202" s="17">
        <v>0.86</v>
      </c>
      <c r="T202" s="18">
        <f t="shared" si="3"/>
        <v>0.37562499999999999</v>
      </c>
    </row>
    <row r="203" spans="2:20" x14ac:dyDescent="0.3">
      <c r="B203" s="7" t="s">
        <v>236</v>
      </c>
      <c r="C203" s="7" t="s">
        <v>346</v>
      </c>
      <c r="D203" s="7">
        <v>0.99</v>
      </c>
      <c r="E203" s="7">
        <v>0</v>
      </c>
      <c r="F203" s="7">
        <v>0.16</v>
      </c>
      <c r="G203" s="7">
        <v>0.17</v>
      </c>
      <c r="H203" s="7">
        <v>0.99</v>
      </c>
      <c r="I203" s="7">
        <v>0.25</v>
      </c>
      <c r="J203" s="7">
        <v>0.95</v>
      </c>
      <c r="K203" s="7">
        <v>0.46</v>
      </c>
      <c r="L203" s="7">
        <v>0</v>
      </c>
      <c r="M203" s="7">
        <v>0.33</v>
      </c>
      <c r="N203" s="7">
        <v>0.71</v>
      </c>
      <c r="O203" s="7">
        <v>0.46</v>
      </c>
      <c r="P203" s="7">
        <v>0.11</v>
      </c>
      <c r="Q203" s="7">
        <v>0.44</v>
      </c>
      <c r="R203" s="7">
        <v>0.21</v>
      </c>
      <c r="S203" s="17">
        <v>0.74</v>
      </c>
      <c r="T203" s="18">
        <f t="shared" si="3"/>
        <v>0.43562500000000004</v>
      </c>
    </row>
    <row r="204" spans="2:20" x14ac:dyDescent="0.3">
      <c r="B204" s="7" t="s">
        <v>237</v>
      </c>
      <c r="C204" s="7" t="s">
        <v>349</v>
      </c>
      <c r="D204" s="7">
        <v>0.64</v>
      </c>
      <c r="E204" s="7">
        <v>0.45</v>
      </c>
      <c r="F204" s="7">
        <v>0</v>
      </c>
      <c r="G204" s="7">
        <v>0.02</v>
      </c>
      <c r="H204" s="7">
        <v>0.4</v>
      </c>
      <c r="I204" s="7">
        <v>0.97</v>
      </c>
      <c r="J204" s="7">
        <v>0.69</v>
      </c>
      <c r="K204" s="7">
        <v>0.57999999999999996</v>
      </c>
      <c r="L204" s="7">
        <v>0.16</v>
      </c>
      <c r="M204" s="7">
        <v>0.83</v>
      </c>
      <c r="N204" s="7">
        <v>0</v>
      </c>
      <c r="O204" s="7">
        <v>0.65</v>
      </c>
      <c r="P204" s="7">
        <v>0.75</v>
      </c>
      <c r="Q204" s="7">
        <v>0.63</v>
      </c>
      <c r="R204" s="7">
        <v>0</v>
      </c>
      <c r="S204" s="17">
        <v>0.77</v>
      </c>
      <c r="T204" s="18">
        <f t="shared" si="3"/>
        <v>0.47125000000000006</v>
      </c>
    </row>
    <row r="205" spans="2:20" x14ac:dyDescent="0.3">
      <c r="B205" s="7" t="s">
        <v>238</v>
      </c>
      <c r="C205" s="7" t="s">
        <v>344</v>
      </c>
      <c r="D205" s="7">
        <v>0.1</v>
      </c>
      <c r="E205" s="7">
        <v>0.83</v>
      </c>
      <c r="F205" s="7">
        <v>0</v>
      </c>
      <c r="G205" s="7">
        <v>0.74</v>
      </c>
      <c r="H205" s="7">
        <v>0.21</v>
      </c>
      <c r="I205" s="7">
        <v>0.94</v>
      </c>
      <c r="J205" s="7">
        <v>0.28999999999999998</v>
      </c>
      <c r="K205" s="7">
        <v>0.08</v>
      </c>
      <c r="L205" s="7">
        <v>0.32</v>
      </c>
      <c r="M205" s="7">
        <v>0</v>
      </c>
      <c r="N205" s="7">
        <v>0</v>
      </c>
      <c r="O205" s="7">
        <v>0.86</v>
      </c>
      <c r="P205" s="7">
        <v>0.04</v>
      </c>
      <c r="Q205" s="7">
        <v>0.39</v>
      </c>
      <c r="R205" s="7">
        <v>0.95</v>
      </c>
      <c r="S205" s="17">
        <v>0</v>
      </c>
      <c r="T205" s="18">
        <f t="shared" si="3"/>
        <v>0.359375</v>
      </c>
    </row>
    <row r="206" spans="2:20" x14ac:dyDescent="0.3">
      <c r="B206" s="7" t="s">
        <v>239</v>
      </c>
      <c r="C206" s="7" t="s">
        <v>349</v>
      </c>
      <c r="D206" s="7">
        <v>0.34</v>
      </c>
      <c r="E206" s="7">
        <v>0.48</v>
      </c>
      <c r="F206" s="7">
        <v>0.57999999999999996</v>
      </c>
      <c r="G206" s="7">
        <v>0.93</v>
      </c>
      <c r="H206" s="7">
        <v>0.21</v>
      </c>
      <c r="I206" s="7">
        <v>0.93</v>
      </c>
      <c r="J206" s="7">
        <v>0.46</v>
      </c>
      <c r="K206" s="7">
        <v>0</v>
      </c>
      <c r="L206" s="7">
        <v>0.74</v>
      </c>
      <c r="M206" s="7">
        <v>0.97</v>
      </c>
      <c r="N206" s="7">
        <v>0</v>
      </c>
      <c r="O206" s="7">
        <v>0</v>
      </c>
      <c r="P206" s="7">
        <v>0</v>
      </c>
      <c r="Q206" s="7">
        <v>0.28000000000000003</v>
      </c>
      <c r="R206" s="7">
        <v>0.42</v>
      </c>
      <c r="S206" s="17">
        <v>0.74</v>
      </c>
      <c r="T206" s="18">
        <f t="shared" si="3"/>
        <v>0.4425</v>
      </c>
    </row>
    <row r="207" spans="2:20" x14ac:dyDescent="0.3">
      <c r="B207" s="7" t="s">
        <v>240</v>
      </c>
      <c r="C207" s="7" t="s">
        <v>346</v>
      </c>
      <c r="D207" s="7">
        <v>0.26</v>
      </c>
      <c r="E207" s="7">
        <v>0.51</v>
      </c>
      <c r="F207" s="7">
        <v>0.19</v>
      </c>
      <c r="G207" s="7">
        <v>0.16</v>
      </c>
      <c r="H207" s="7">
        <v>0.8</v>
      </c>
      <c r="I207" s="7">
        <v>0.47</v>
      </c>
      <c r="J207" s="7">
        <v>0</v>
      </c>
      <c r="K207" s="7">
        <v>0.12</v>
      </c>
      <c r="L207" s="7">
        <v>0.08</v>
      </c>
      <c r="M207" s="7">
        <v>0.89</v>
      </c>
      <c r="N207" s="7">
        <v>0.63</v>
      </c>
      <c r="O207" s="7">
        <v>0.3</v>
      </c>
      <c r="P207" s="7">
        <v>0.83</v>
      </c>
      <c r="Q207" s="7">
        <v>0</v>
      </c>
      <c r="R207" s="7">
        <v>0.09</v>
      </c>
      <c r="S207" s="17">
        <v>0</v>
      </c>
      <c r="T207" s="18">
        <f t="shared" si="3"/>
        <v>0.333125</v>
      </c>
    </row>
    <row r="208" spans="2:20" x14ac:dyDescent="0.3">
      <c r="B208" s="7" t="s">
        <v>241</v>
      </c>
      <c r="C208" s="7" t="s">
        <v>349</v>
      </c>
      <c r="D208" s="7">
        <v>0.08</v>
      </c>
      <c r="E208" s="7">
        <v>0.68</v>
      </c>
      <c r="F208" s="7">
        <v>0.04</v>
      </c>
      <c r="G208" s="7">
        <v>0.78</v>
      </c>
      <c r="H208" s="7">
        <v>0.64</v>
      </c>
      <c r="I208" s="7">
        <v>0.55000000000000004</v>
      </c>
      <c r="J208" s="7">
        <v>0.28999999999999998</v>
      </c>
      <c r="K208" s="7">
        <v>0.38</v>
      </c>
      <c r="L208" s="7">
        <v>0.49</v>
      </c>
      <c r="M208" s="7">
        <v>0.1</v>
      </c>
      <c r="N208" s="7">
        <v>0.63</v>
      </c>
      <c r="O208" s="7">
        <v>0.05</v>
      </c>
      <c r="P208" s="7">
        <v>0.88</v>
      </c>
      <c r="Q208" s="7">
        <v>0.24</v>
      </c>
      <c r="R208" s="7">
        <v>0.56999999999999995</v>
      </c>
      <c r="S208" s="17">
        <v>0.33</v>
      </c>
      <c r="T208" s="18">
        <f t="shared" si="3"/>
        <v>0.42062500000000003</v>
      </c>
    </row>
    <row r="209" spans="2:20" x14ac:dyDescent="0.3">
      <c r="B209" s="7" t="s">
        <v>242</v>
      </c>
      <c r="C209" s="7" t="s">
        <v>346</v>
      </c>
      <c r="D209" s="7">
        <v>0.31</v>
      </c>
      <c r="E209" s="7">
        <v>0.69</v>
      </c>
      <c r="F209" s="7">
        <v>0.65</v>
      </c>
      <c r="G209" s="7">
        <v>0.14000000000000001</v>
      </c>
      <c r="H209" s="7">
        <v>0.8</v>
      </c>
      <c r="I209" s="7">
        <v>0</v>
      </c>
      <c r="J209" s="7">
        <v>0.13</v>
      </c>
      <c r="K209" s="7">
        <v>0.5</v>
      </c>
      <c r="L209" s="7">
        <v>0.57999999999999996</v>
      </c>
      <c r="M209" s="7">
        <v>0.82</v>
      </c>
      <c r="N209" s="7">
        <v>0.59</v>
      </c>
      <c r="O209" s="7">
        <v>0</v>
      </c>
      <c r="P209" s="7">
        <v>0</v>
      </c>
      <c r="Q209" s="7">
        <v>0.94</v>
      </c>
      <c r="R209" s="7">
        <v>0.73</v>
      </c>
      <c r="S209" s="17">
        <v>0.79</v>
      </c>
      <c r="T209" s="18">
        <f t="shared" si="3"/>
        <v>0.47937500000000005</v>
      </c>
    </row>
    <row r="210" spans="2:20" x14ac:dyDescent="0.3">
      <c r="B210" s="7" t="s">
        <v>243</v>
      </c>
      <c r="C210" s="7" t="s">
        <v>346</v>
      </c>
      <c r="D210" s="7">
        <v>0.66</v>
      </c>
      <c r="E210" s="7">
        <v>0.93</v>
      </c>
      <c r="F210" s="7">
        <v>0.85</v>
      </c>
      <c r="G210" s="7">
        <v>0.13</v>
      </c>
      <c r="H210" s="7">
        <v>0.72</v>
      </c>
      <c r="I210" s="7">
        <v>0.65</v>
      </c>
      <c r="J210" s="7">
        <v>0.72</v>
      </c>
      <c r="K210" s="7">
        <v>0.55000000000000004</v>
      </c>
      <c r="L210" s="7">
        <v>0.55000000000000004</v>
      </c>
      <c r="M210" s="7">
        <v>0.65</v>
      </c>
      <c r="N210" s="7">
        <v>0.85</v>
      </c>
      <c r="O210" s="7">
        <v>0</v>
      </c>
      <c r="P210" s="7">
        <v>0.77</v>
      </c>
      <c r="Q210" s="7">
        <v>0.96</v>
      </c>
      <c r="R210" s="7">
        <v>0.73</v>
      </c>
      <c r="S210" s="17">
        <v>0.45</v>
      </c>
      <c r="T210" s="18">
        <f t="shared" si="3"/>
        <v>0.63562499999999988</v>
      </c>
    </row>
    <row r="211" spans="2:20" x14ac:dyDescent="0.3">
      <c r="B211" s="7" t="s">
        <v>244</v>
      </c>
      <c r="C211" s="7" t="s">
        <v>345</v>
      </c>
      <c r="D211" s="7">
        <v>0</v>
      </c>
      <c r="E211" s="7">
        <v>0.15</v>
      </c>
      <c r="F211" s="7">
        <v>0.77</v>
      </c>
      <c r="G211" s="7">
        <v>0</v>
      </c>
      <c r="H211" s="7">
        <v>0</v>
      </c>
      <c r="I211" s="7">
        <v>0.84</v>
      </c>
      <c r="J211" s="7">
        <v>0.3</v>
      </c>
      <c r="K211" s="7">
        <v>0.37</v>
      </c>
      <c r="L211" s="7">
        <v>0</v>
      </c>
      <c r="M211" s="7">
        <v>0.69</v>
      </c>
      <c r="N211" s="7">
        <v>0.33</v>
      </c>
      <c r="O211" s="7">
        <v>0.8</v>
      </c>
      <c r="P211" s="7">
        <v>0</v>
      </c>
      <c r="Q211" s="7">
        <v>0.87</v>
      </c>
      <c r="R211" s="7">
        <v>0.78</v>
      </c>
      <c r="S211" s="17">
        <v>0.25</v>
      </c>
      <c r="T211" s="18">
        <f t="shared" si="3"/>
        <v>0.38437500000000002</v>
      </c>
    </row>
    <row r="212" spans="2:20" x14ac:dyDescent="0.3">
      <c r="B212" s="7" t="s">
        <v>245</v>
      </c>
      <c r="C212" s="7" t="s">
        <v>344</v>
      </c>
      <c r="D212" s="7">
        <v>0.56999999999999995</v>
      </c>
      <c r="E212" s="7">
        <v>0.68</v>
      </c>
      <c r="F212" s="7">
        <v>0.37</v>
      </c>
      <c r="G212" s="7">
        <v>0.04</v>
      </c>
      <c r="H212" s="7">
        <v>0.03</v>
      </c>
      <c r="I212" s="7">
        <v>0.78</v>
      </c>
      <c r="J212" s="7">
        <v>0.95</v>
      </c>
      <c r="K212" s="7">
        <v>7.0000000000000007E-2</v>
      </c>
      <c r="L212" s="7">
        <v>0.79</v>
      </c>
      <c r="M212" s="7">
        <v>0</v>
      </c>
      <c r="N212" s="7">
        <v>0</v>
      </c>
      <c r="O212" s="7">
        <v>0.78</v>
      </c>
      <c r="P212" s="7">
        <v>0.37</v>
      </c>
      <c r="Q212" s="7">
        <v>1</v>
      </c>
      <c r="R212" s="7">
        <v>0.83</v>
      </c>
      <c r="S212" s="17">
        <v>0</v>
      </c>
      <c r="T212" s="18">
        <f t="shared" si="3"/>
        <v>0.45374999999999999</v>
      </c>
    </row>
    <row r="213" spans="2:20" x14ac:dyDescent="0.3">
      <c r="B213" s="7" t="s">
        <v>246</v>
      </c>
      <c r="C213" s="7" t="s">
        <v>344</v>
      </c>
      <c r="D213" s="7">
        <v>0.86</v>
      </c>
      <c r="E213" s="7">
        <v>0.44</v>
      </c>
      <c r="F213" s="7">
        <v>0.17</v>
      </c>
      <c r="G213" s="7">
        <v>0.79</v>
      </c>
      <c r="H213" s="7">
        <v>0.53</v>
      </c>
      <c r="I213" s="7">
        <v>0.73</v>
      </c>
      <c r="J213" s="7">
        <v>0.69</v>
      </c>
      <c r="K213" s="7">
        <v>0.1</v>
      </c>
      <c r="L213" s="7">
        <v>0.39</v>
      </c>
      <c r="M213" s="7">
        <v>1</v>
      </c>
      <c r="N213" s="7">
        <v>0.72</v>
      </c>
      <c r="O213" s="7">
        <v>0.04</v>
      </c>
      <c r="P213" s="7">
        <v>0</v>
      </c>
      <c r="Q213" s="7">
        <v>0.26</v>
      </c>
      <c r="R213" s="7">
        <v>0</v>
      </c>
      <c r="S213" s="17">
        <v>0.8</v>
      </c>
      <c r="T213" s="18">
        <f t="shared" si="3"/>
        <v>0.46999999999999992</v>
      </c>
    </row>
    <row r="214" spans="2:20" x14ac:dyDescent="0.3">
      <c r="B214" s="7" t="s">
        <v>247</v>
      </c>
      <c r="C214" s="7" t="s">
        <v>344</v>
      </c>
      <c r="D214" s="7">
        <v>0</v>
      </c>
      <c r="E214" s="7">
        <v>0.64</v>
      </c>
      <c r="F214" s="7">
        <v>0.02</v>
      </c>
      <c r="G214" s="7">
        <v>0.11</v>
      </c>
      <c r="H214" s="7">
        <v>0</v>
      </c>
      <c r="I214" s="7">
        <v>1</v>
      </c>
      <c r="J214" s="7">
        <v>0.93</v>
      </c>
      <c r="K214" s="7">
        <v>0.94</v>
      </c>
      <c r="L214" s="7">
        <v>0.18</v>
      </c>
      <c r="M214" s="7">
        <v>0.93</v>
      </c>
      <c r="N214" s="7">
        <v>0.99</v>
      </c>
      <c r="O214" s="7">
        <v>0.16</v>
      </c>
      <c r="P214" s="7">
        <v>0.22</v>
      </c>
      <c r="Q214" s="7">
        <v>0.04</v>
      </c>
      <c r="R214" s="7">
        <v>0.79</v>
      </c>
      <c r="S214" s="17">
        <v>0.23</v>
      </c>
      <c r="T214" s="18">
        <f t="shared" si="3"/>
        <v>0.44875000000000004</v>
      </c>
    </row>
    <row r="215" spans="2:20" x14ac:dyDescent="0.3">
      <c r="B215" s="7" t="s">
        <v>248</v>
      </c>
      <c r="C215" s="7" t="s">
        <v>346</v>
      </c>
      <c r="D215" s="7">
        <v>0.12</v>
      </c>
      <c r="E215" s="7">
        <v>0.81</v>
      </c>
      <c r="F215" s="7">
        <v>0.66</v>
      </c>
      <c r="G215" s="7">
        <v>0.28999999999999998</v>
      </c>
      <c r="H215" s="7">
        <v>0</v>
      </c>
      <c r="I215" s="7">
        <v>0</v>
      </c>
      <c r="J215" s="7">
        <v>0.2</v>
      </c>
      <c r="K215" s="7">
        <v>0.66</v>
      </c>
      <c r="L215" s="7">
        <v>1</v>
      </c>
      <c r="M215" s="7">
        <v>0</v>
      </c>
      <c r="N215" s="7">
        <v>0.74</v>
      </c>
      <c r="O215" s="7">
        <v>0</v>
      </c>
      <c r="P215" s="7">
        <v>0.3</v>
      </c>
      <c r="Q215" s="7">
        <v>0</v>
      </c>
      <c r="R215" s="7">
        <v>0.18</v>
      </c>
      <c r="S215" s="17">
        <v>0.59</v>
      </c>
      <c r="T215" s="18">
        <f t="shared" si="3"/>
        <v>0.34687499999999999</v>
      </c>
    </row>
    <row r="216" spans="2:20" x14ac:dyDescent="0.3">
      <c r="B216" s="7" t="s">
        <v>249</v>
      </c>
      <c r="C216" s="7" t="s">
        <v>348</v>
      </c>
      <c r="D216" s="7">
        <v>0.81</v>
      </c>
      <c r="E216" s="7">
        <v>0.23</v>
      </c>
      <c r="F216" s="7">
        <v>0</v>
      </c>
      <c r="G216" s="7">
        <v>0.32</v>
      </c>
      <c r="H216" s="7">
        <v>0.99</v>
      </c>
      <c r="I216" s="7">
        <v>0.83</v>
      </c>
      <c r="J216" s="7">
        <v>0.99</v>
      </c>
      <c r="K216" s="7">
        <v>0.5</v>
      </c>
      <c r="L216" s="7">
        <v>0.96</v>
      </c>
      <c r="M216" s="7">
        <v>0.28000000000000003</v>
      </c>
      <c r="N216" s="7">
        <v>0.69</v>
      </c>
      <c r="O216" s="7">
        <v>0.92</v>
      </c>
      <c r="P216" s="7">
        <v>0</v>
      </c>
      <c r="Q216" s="7">
        <v>0.96</v>
      </c>
      <c r="R216" s="7">
        <v>0.31</v>
      </c>
      <c r="S216" s="17">
        <v>0.57999999999999996</v>
      </c>
      <c r="T216" s="18">
        <f t="shared" si="3"/>
        <v>0.58562500000000006</v>
      </c>
    </row>
    <row r="217" spans="2:20" x14ac:dyDescent="0.3">
      <c r="B217" s="7" t="s">
        <v>250</v>
      </c>
      <c r="C217" s="7" t="s">
        <v>345</v>
      </c>
      <c r="D217" s="7">
        <v>0.15</v>
      </c>
      <c r="E217" s="7">
        <v>0.31</v>
      </c>
      <c r="F217" s="7">
        <v>0.18</v>
      </c>
      <c r="G217" s="7">
        <v>0.34</v>
      </c>
      <c r="H217" s="7">
        <v>0.21</v>
      </c>
      <c r="I217" s="7">
        <v>0.43</v>
      </c>
      <c r="J217" s="7">
        <v>0.74</v>
      </c>
      <c r="K217" s="7">
        <v>0</v>
      </c>
      <c r="L217" s="7">
        <v>0</v>
      </c>
      <c r="M217" s="7">
        <v>0.51</v>
      </c>
      <c r="N217" s="7">
        <v>0.06</v>
      </c>
      <c r="O217" s="7">
        <v>0.91</v>
      </c>
      <c r="P217" s="7">
        <v>0.66</v>
      </c>
      <c r="Q217" s="7">
        <v>0.49</v>
      </c>
      <c r="R217" s="7">
        <v>0</v>
      </c>
      <c r="S217" s="17">
        <v>0</v>
      </c>
      <c r="T217" s="18">
        <f t="shared" si="3"/>
        <v>0.31187500000000001</v>
      </c>
    </row>
    <row r="218" spans="2:20" x14ac:dyDescent="0.3">
      <c r="B218" s="7" t="s">
        <v>251</v>
      </c>
      <c r="C218" s="7" t="s">
        <v>348</v>
      </c>
      <c r="D218" s="7">
        <v>0</v>
      </c>
      <c r="E218" s="7">
        <v>0.22</v>
      </c>
      <c r="F218" s="7">
        <v>0.72</v>
      </c>
      <c r="G218" s="7">
        <v>0</v>
      </c>
      <c r="H218" s="7">
        <v>0</v>
      </c>
      <c r="I218" s="7">
        <v>0.61</v>
      </c>
      <c r="J218" s="7">
        <v>0.49</v>
      </c>
      <c r="K218" s="7">
        <v>0</v>
      </c>
      <c r="L218" s="7">
        <v>0.36</v>
      </c>
      <c r="M218" s="7">
        <v>0.83</v>
      </c>
      <c r="N218" s="7">
        <v>0.22</v>
      </c>
      <c r="O218" s="7">
        <v>0.08</v>
      </c>
      <c r="P218" s="7">
        <v>0</v>
      </c>
      <c r="Q218" s="7">
        <v>0.93</v>
      </c>
      <c r="R218" s="7">
        <v>0.97</v>
      </c>
      <c r="S218" s="17">
        <v>0</v>
      </c>
      <c r="T218" s="18">
        <f t="shared" si="3"/>
        <v>0.33937499999999998</v>
      </c>
    </row>
    <row r="219" spans="2:20" x14ac:dyDescent="0.3">
      <c r="B219" s="7" t="s">
        <v>252</v>
      </c>
      <c r="C219" s="7" t="s">
        <v>346</v>
      </c>
      <c r="D219" s="7">
        <v>0</v>
      </c>
      <c r="E219" s="7">
        <v>0.48</v>
      </c>
      <c r="F219" s="7">
        <v>0</v>
      </c>
      <c r="G219" s="7">
        <v>0.91</v>
      </c>
      <c r="H219" s="7">
        <v>0</v>
      </c>
      <c r="I219" s="7">
        <v>0.86</v>
      </c>
      <c r="J219" s="7">
        <v>0.17</v>
      </c>
      <c r="K219" s="7">
        <v>0</v>
      </c>
      <c r="L219" s="7">
        <v>0.68</v>
      </c>
      <c r="M219" s="7">
        <v>0</v>
      </c>
      <c r="N219" s="7">
        <v>0.4</v>
      </c>
      <c r="O219" s="7">
        <v>0.66</v>
      </c>
      <c r="P219" s="7">
        <v>0.27</v>
      </c>
      <c r="Q219" s="7">
        <v>0.35</v>
      </c>
      <c r="R219" s="7">
        <v>0.48</v>
      </c>
      <c r="S219" s="17">
        <v>0.91</v>
      </c>
      <c r="T219" s="18">
        <f t="shared" si="3"/>
        <v>0.385625</v>
      </c>
    </row>
    <row r="220" spans="2:20" x14ac:dyDescent="0.3">
      <c r="B220" s="7" t="s">
        <v>253</v>
      </c>
      <c r="C220" s="7" t="s">
        <v>344</v>
      </c>
      <c r="D220" s="7">
        <v>0.34</v>
      </c>
      <c r="E220" s="7">
        <v>0.92</v>
      </c>
      <c r="F220" s="7">
        <v>0.98</v>
      </c>
      <c r="G220" s="7">
        <v>0.02</v>
      </c>
      <c r="H220" s="7">
        <v>0.24</v>
      </c>
      <c r="I220" s="7">
        <v>0</v>
      </c>
      <c r="J220" s="7">
        <v>0</v>
      </c>
      <c r="K220" s="7">
        <v>0</v>
      </c>
      <c r="L220" s="7">
        <v>0</v>
      </c>
      <c r="M220" s="7">
        <v>0.71</v>
      </c>
      <c r="N220" s="7">
        <v>0.49</v>
      </c>
      <c r="O220" s="7">
        <v>0.76</v>
      </c>
      <c r="P220" s="7">
        <v>0.67</v>
      </c>
      <c r="Q220" s="7">
        <v>0.56999999999999995</v>
      </c>
      <c r="R220" s="7">
        <v>0.66</v>
      </c>
      <c r="S220" s="17">
        <v>0.02</v>
      </c>
      <c r="T220" s="18">
        <f t="shared" si="3"/>
        <v>0.39874999999999999</v>
      </c>
    </row>
    <row r="221" spans="2:20" x14ac:dyDescent="0.3">
      <c r="B221" s="7" t="s">
        <v>254</v>
      </c>
      <c r="C221" s="7" t="s">
        <v>345</v>
      </c>
      <c r="D221" s="7">
        <v>0.3</v>
      </c>
      <c r="E221" s="7">
        <v>0</v>
      </c>
      <c r="F221" s="7">
        <v>0.02</v>
      </c>
      <c r="G221" s="7">
        <v>0.87</v>
      </c>
      <c r="H221" s="7">
        <v>0.66</v>
      </c>
      <c r="I221" s="7">
        <v>0.56999999999999995</v>
      </c>
      <c r="J221" s="7">
        <v>0.69</v>
      </c>
      <c r="K221" s="7">
        <v>0.89</v>
      </c>
      <c r="L221" s="7">
        <v>0.66</v>
      </c>
      <c r="M221" s="7">
        <v>0.36</v>
      </c>
      <c r="N221" s="7">
        <v>1</v>
      </c>
      <c r="O221" s="7">
        <v>0</v>
      </c>
      <c r="P221" s="7">
        <v>0.39</v>
      </c>
      <c r="Q221" s="7">
        <v>0.12</v>
      </c>
      <c r="R221" s="7">
        <v>0.9</v>
      </c>
      <c r="S221" s="17">
        <v>0</v>
      </c>
      <c r="T221" s="18">
        <f t="shared" si="3"/>
        <v>0.46437500000000004</v>
      </c>
    </row>
    <row r="222" spans="2:20" x14ac:dyDescent="0.3">
      <c r="B222" s="7" t="s">
        <v>255</v>
      </c>
      <c r="C222" s="7" t="s">
        <v>344</v>
      </c>
      <c r="D222" s="7">
        <v>0.15</v>
      </c>
      <c r="E222" s="7">
        <v>0.81</v>
      </c>
      <c r="F222" s="7">
        <v>0.34</v>
      </c>
      <c r="G222" s="7">
        <v>0.4</v>
      </c>
      <c r="H222" s="7">
        <v>0.7</v>
      </c>
      <c r="I222" s="7">
        <v>0</v>
      </c>
      <c r="J222" s="7">
        <v>0.59</v>
      </c>
      <c r="K222" s="7">
        <v>0.72</v>
      </c>
      <c r="L222" s="7">
        <v>0.95</v>
      </c>
      <c r="M222" s="7">
        <v>0</v>
      </c>
      <c r="N222" s="7">
        <v>0.68</v>
      </c>
      <c r="O222" s="7">
        <v>0</v>
      </c>
      <c r="P222" s="7">
        <v>0.51</v>
      </c>
      <c r="Q222" s="7">
        <v>0.03</v>
      </c>
      <c r="R222" s="7">
        <v>0.76</v>
      </c>
      <c r="S222" s="17">
        <v>0.37</v>
      </c>
      <c r="T222" s="18">
        <f t="shared" si="3"/>
        <v>0.43812499999999999</v>
      </c>
    </row>
    <row r="223" spans="2:20" x14ac:dyDescent="0.3">
      <c r="B223" s="7" t="s">
        <v>256</v>
      </c>
      <c r="C223" s="7" t="s">
        <v>346</v>
      </c>
      <c r="D223" s="7">
        <v>0</v>
      </c>
      <c r="E223" s="7">
        <v>0.23</v>
      </c>
      <c r="F223" s="7">
        <v>0.49</v>
      </c>
      <c r="G223" s="7">
        <v>0.96</v>
      </c>
      <c r="H223" s="7">
        <v>0.61</v>
      </c>
      <c r="I223" s="7">
        <v>0.61</v>
      </c>
      <c r="J223" s="7">
        <v>0.59</v>
      </c>
      <c r="K223" s="7">
        <v>0.49</v>
      </c>
      <c r="L223" s="7">
        <v>0.09</v>
      </c>
      <c r="M223" s="7">
        <v>0.76</v>
      </c>
      <c r="N223" s="7">
        <v>0.65</v>
      </c>
      <c r="O223" s="7">
        <v>0.15</v>
      </c>
      <c r="P223" s="7">
        <v>0.19</v>
      </c>
      <c r="Q223" s="7">
        <v>0.51</v>
      </c>
      <c r="R223" s="7">
        <v>0</v>
      </c>
      <c r="S223" s="17">
        <v>0.02</v>
      </c>
      <c r="T223" s="18">
        <f t="shared" si="3"/>
        <v>0.39687499999999998</v>
      </c>
    </row>
    <row r="224" spans="2:20" x14ac:dyDescent="0.3">
      <c r="B224" s="7" t="s">
        <v>257</v>
      </c>
      <c r="C224" s="7" t="s">
        <v>345</v>
      </c>
      <c r="D224" s="7">
        <v>0.32</v>
      </c>
      <c r="E224" s="7">
        <v>7.0000000000000007E-2</v>
      </c>
      <c r="F224" s="7">
        <v>0.31</v>
      </c>
      <c r="G224" s="7">
        <v>0</v>
      </c>
      <c r="H224" s="7">
        <v>0.65</v>
      </c>
      <c r="I224" s="7">
        <v>0.26</v>
      </c>
      <c r="J224" s="7">
        <v>0.77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0.91</v>
      </c>
      <c r="Q224" s="7">
        <v>0</v>
      </c>
      <c r="R224" s="7">
        <v>0.64</v>
      </c>
      <c r="S224" s="17">
        <v>0.27</v>
      </c>
      <c r="T224" s="18">
        <f t="shared" si="3"/>
        <v>0.32499999999999996</v>
      </c>
    </row>
    <row r="225" spans="2:20" x14ac:dyDescent="0.3">
      <c r="B225" s="7" t="s">
        <v>258</v>
      </c>
      <c r="C225" s="7" t="s">
        <v>348</v>
      </c>
      <c r="D225" s="7">
        <v>0</v>
      </c>
      <c r="E225" s="7">
        <v>0.51</v>
      </c>
      <c r="F225" s="7">
        <v>0.14000000000000001</v>
      </c>
      <c r="G225" s="7">
        <v>0</v>
      </c>
      <c r="H225" s="7">
        <v>0.31</v>
      </c>
      <c r="I225" s="7">
        <v>0.25</v>
      </c>
      <c r="J225" s="7">
        <v>0.86</v>
      </c>
      <c r="K225" s="7">
        <v>0.21</v>
      </c>
      <c r="L225" s="7">
        <v>0.56999999999999995</v>
      </c>
      <c r="M225" s="7">
        <v>0</v>
      </c>
      <c r="N225" s="7">
        <v>0</v>
      </c>
      <c r="O225" s="7">
        <v>0.5</v>
      </c>
      <c r="P225" s="7">
        <v>0.54</v>
      </c>
      <c r="Q225" s="7">
        <v>0.78</v>
      </c>
      <c r="R225" s="7">
        <v>0.96</v>
      </c>
      <c r="S225" s="17">
        <v>0.22</v>
      </c>
      <c r="T225" s="18">
        <f t="shared" si="3"/>
        <v>0.36562499999999998</v>
      </c>
    </row>
    <row r="226" spans="2:20" x14ac:dyDescent="0.3">
      <c r="B226" s="7" t="s">
        <v>259</v>
      </c>
      <c r="C226" s="7" t="s">
        <v>347</v>
      </c>
      <c r="D226" s="7">
        <v>0.86</v>
      </c>
      <c r="E226" s="7">
        <v>0</v>
      </c>
      <c r="F226" s="7">
        <v>0.08</v>
      </c>
      <c r="G226" s="7">
        <v>0.46</v>
      </c>
      <c r="H226" s="7">
        <v>0.85</v>
      </c>
      <c r="I226" s="7">
        <v>0.41</v>
      </c>
      <c r="J226" s="7">
        <v>0.11</v>
      </c>
      <c r="K226" s="7">
        <v>0.22</v>
      </c>
      <c r="L226" s="7">
        <v>0.45</v>
      </c>
      <c r="M226" s="7">
        <v>0</v>
      </c>
      <c r="N226" s="7">
        <v>0.9</v>
      </c>
      <c r="O226" s="7">
        <v>0.4</v>
      </c>
      <c r="P226" s="7">
        <v>0.24</v>
      </c>
      <c r="Q226" s="7">
        <v>0.63</v>
      </c>
      <c r="R226" s="7">
        <v>0</v>
      </c>
      <c r="S226" s="17">
        <v>0.32</v>
      </c>
      <c r="T226" s="18">
        <f t="shared" si="3"/>
        <v>0.37062500000000009</v>
      </c>
    </row>
    <row r="227" spans="2:20" x14ac:dyDescent="0.3">
      <c r="B227" s="7" t="s">
        <v>260</v>
      </c>
      <c r="C227" s="7" t="s">
        <v>349</v>
      </c>
      <c r="D227" s="7">
        <v>0</v>
      </c>
      <c r="E227" s="7">
        <v>0</v>
      </c>
      <c r="F227" s="7">
        <v>0</v>
      </c>
      <c r="G227" s="7">
        <v>0.39</v>
      </c>
      <c r="H227" s="7">
        <v>0.36</v>
      </c>
      <c r="I227" s="7">
        <v>0.19</v>
      </c>
      <c r="J227" s="7">
        <v>0.13</v>
      </c>
      <c r="K227" s="7">
        <v>0.68</v>
      </c>
      <c r="L227" s="7">
        <v>0.53</v>
      </c>
      <c r="M227" s="7">
        <v>0.25</v>
      </c>
      <c r="N227" s="7">
        <v>0</v>
      </c>
      <c r="O227" s="7">
        <v>0.15</v>
      </c>
      <c r="P227" s="7">
        <v>0.28000000000000003</v>
      </c>
      <c r="Q227" s="7">
        <v>0.74</v>
      </c>
      <c r="R227" s="7">
        <v>0.73</v>
      </c>
      <c r="S227" s="17">
        <v>0.9</v>
      </c>
      <c r="T227" s="18">
        <f t="shared" si="3"/>
        <v>0.333125</v>
      </c>
    </row>
    <row r="228" spans="2:20" x14ac:dyDescent="0.3">
      <c r="B228" s="7" t="s">
        <v>261</v>
      </c>
      <c r="C228" s="7" t="s">
        <v>349</v>
      </c>
      <c r="D228" s="7">
        <v>0.25</v>
      </c>
      <c r="E228" s="7">
        <v>0.97</v>
      </c>
      <c r="F228" s="7">
        <v>0.03</v>
      </c>
      <c r="G228" s="7">
        <v>0.28000000000000003</v>
      </c>
      <c r="H228" s="7">
        <v>0.95</v>
      </c>
      <c r="I228" s="7">
        <v>0.8</v>
      </c>
      <c r="J228" s="7">
        <v>0.76</v>
      </c>
      <c r="K228" s="7">
        <v>0.26</v>
      </c>
      <c r="L228" s="7">
        <v>0.69</v>
      </c>
      <c r="M228" s="7">
        <v>0.87</v>
      </c>
      <c r="N228" s="7">
        <v>0.5</v>
      </c>
      <c r="O228" s="7">
        <v>0.24</v>
      </c>
      <c r="P228" s="7">
        <v>0.49</v>
      </c>
      <c r="Q228" s="7">
        <v>0.6</v>
      </c>
      <c r="R228" s="7">
        <v>0</v>
      </c>
      <c r="S228" s="17">
        <v>0.56000000000000005</v>
      </c>
      <c r="T228" s="18">
        <f t="shared" si="3"/>
        <v>0.515625</v>
      </c>
    </row>
    <row r="229" spans="2:20" x14ac:dyDescent="0.3">
      <c r="B229" s="7" t="s">
        <v>262</v>
      </c>
      <c r="C229" s="7" t="s">
        <v>349</v>
      </c>
      <c r="D229" s="7">
        <v>0.89</v>
      </c>
      <c r="E229" s="7">
        <v>0</v>
      </c>
      <c r="F229" s="7">
        <v>0.35</v>
      </c>
      <c r="G229" s="7">
        <v>0</v>
      </c>
      <c r="H229" s="7">
        <v>0.21</v>
      </c>
      <c r="I229" s="7">
        <v>0.37</v>
      </c>
      <c r="J229" s="7">
        <v>0.37</v>
      </c>
      <c r="K229" s="7">
        <v>0.49</v>
      </c>
      <c r="L229" s="7">
        <v>0.66</v>
      </c>
      <c r="M229" s="7">
        <v>0.26</v>
      </c>
      <c r="N229" s="7">
        <v>0</v>
      </c>
      <c r="O229" s="7">
        <v>0.66</v>
      </c>
      <c r="P229" s="7">
        <v>0.36</v>
      </c>
      <c r="Q229" s="7">
        <v>0.09</v>
      </c>
      <c r="R229" s="7">
        <v>0.92</v>
      </c>
      <c r="S229" s="17">
        <v>0</v>
      </c>
      <c r="T229" s="18">
        <f t="shared" si="3"/>
        <v>0.35187499999999999</v>
      </c>
    </row>
    <row r="230" spans="2:20" x14ac:dyDescent="0.3">
      <c r="B230" s="7" t="s">
        <v>263</v>
      </c>
      <c r="C230" s="7" t="s">
        <v>347</v>
      </c>
      <c r="D230" s="7">
        <v>0</v>
      </c>
      <c r="E230" s="7">
        <v>0</v>
      </c>
      <c r="F230" s="7">
        <v>0.35</v>
      </c>
      <c r="G230" s="7">
        <v>0.72</v>
      </c>
      <c r="H230" s="7">
        <v>0</v>
      </c>
      <c r="I230" s="7">
        <v>0.11</v>
      </c>
      <c r="J230" s="7">
        <v>0.56999999999999995</v>
      </c>
      <c r="K230" s="7">
        <v>0</v>
      </c>
      <c r="L230" s="7">
        <v>0.56999999999999995</v>
      </c>
      <c r="M230" s="7">
        <v>0.85</v>
      </c>
      <c r="N230" s="7">
        <v>0.01</v>
      </c>
      <c r="O230" s="7">
        <v>0.59</v>
      </c>
      <c r="P230" s="7">
        <v>0.35</v>
      </c>
      <c r="Q230" s="7">
        <v>0.42</v>
      </c>
      <c r="R230" s="7">
        <v>0</v>
      </c>
      <c r="S230" s="17">
        <v>0</v>
      </c>
      <c r="T230" s="18">
        <f t="shared" si="3"/>
        <v>0.28374999999999995</v>
      </c>
    </row>
    <row r="231" spans="2:20" x14ac:dyDescent="0.3">
      <c r="B231" s="7" t="s">
        <v>264</v>
      </c>
      <c r="C231" s="7" t="s">
        <v>346</v>
      </c>
      <c r="D231" s="7">
        <v>0.37</v>
      </c>
      <c r="E231" s="7">
        <v>0.81</v>
      </c>
      <c r="F231" s="7">
        <v>0.77</v>
      </c>
      <c r="G231" s="7">
        <v>0.79</v>
      </c>
      <c r="H231" s="7">
        <v>0.52</v>
      </c>
      <c r="I231" s="7">
        <v>0.57999999999999996</v>
      </c>
      <c r="J231" s="7">
        <v>0</v>
      </c>
      <c r="K231" s="7">
        <v>0.47</v>
      </c>
      <c r="L231" s="7">
        <v>0.37</v>
      </c>
      <c r="M231" s="7">
        <v>0</v>
      </c>
      <c r="N231" s="7">
        <v>0.59</v>
      </c>
      <c r="O231" s="7">
        <v>0.05</v>
      </c>
      <c r="P231" s="7">
        <v>0.28999999999999998</v>
      </c>
      <c r="Q231" s="7">
        <v>0.75</v>
      </c>
      <c r="R231" s="7">
        <v>0.99</v>
      </c>
      <c r="S231" s="17">
        <v>0.16</v>
      </c>
      <c r="T231" s="18">
        <f t="shared" si="3"/>
        <v>0.46937500000000004</v>
      </c>
    </row>
    <row r="232" spans="2:20" x14ac:dyDescent="0.3">
      <c r="B232" s="7" t="s">
        <v>265</v>
      </c>
      <c r="C232" s="7" t="s">
        <v>349</v>
      </c>
      <c r="D232" s="7">
        <v>0.85</v>
      </c>
      <c r="E232" s="7">
        <v>0</v>
      </c>
      <c r="F232" s="7">
        <v>0.05</v>
      </c>
      <c r="G232" s="7">
        <v>0.42</v>
      </c>
      <c r="H232" s="7">
        <v>0.56999999999999995</v>
      </c>
      <c r="I232" s="7">
        <v>0.52</v>
      </c>
      <c r="J232" s="7">
        <v>0</v>
      </c>
      <c r="K232" s="7">
        <v>0.17</v>
      </c>
      <c r="L232" s="7">
        <v>0</v>
      </c>
      <c r="M232" s="7">
        <v>0.63</v>
      </c>
      <c r="N232" s="7">
        <v>0.09</v>
      </c>
      <c r="O232" s="7">
        <v>0.02</v>
      </c>
      <c r="P232" s="7">
        <v>0.96</v>
      </c>
      <c r="Q232" s="7">
        <v>0.35</v>
      </c>
      <c r="R232" s="7">
        <v>0.31</v>
      </c>
      <c r="S232" s="17">
        <v>0.78</v>
      </c>
      <c r="T232" s="18">
        <f t="shared" si="3"/>
        <v>0.35749999999999993</v>
      </c>
    </row>
    <row r="233" spans="2:20" x14ac:dyDescent="0.3">
      <c r="B233" s="7" t="s">
        <v>266</v>
      </c>
      <c r="C233" s="7" t="s">
        <v>349</v>
      </c>
      <c r="D233" s="7">
        <v>0.02</v>
      </c>
      <c r="E233" s="7">
        <v>0.09</v>
      </c>
      <c r="F233" s="7">
        <v>0.24</v>
      </c>
      <c r="G233" s="7">
        <v>0</v>
      </c>
      <c r="H233" s="7">
        <v>0</v>
      </c>
      <c r="I233" s="7">
        <v>0.52</v>
      </c>
      <c r="J233" s="7">
        <v>0</v>
      </c>
      <c r="K233" s="7">
        <v>0.54</v>
      </c>
      <c r="L233" s="7">
        <v>0.76</v>
      </c>
      <c r="M233" s="7">
        <v>0.86</v>
      </c>
      <c r="N233" s="7">
        <v>0.63</v>
      </c>
      <c r="O233" s="7">
        <v>0.9</v>
      </c>
      <c r="P233" s="7">
        <v>0.83</v>
      </c>
      <c r="Q233" s="7">
        <v>0.42</v>
      </c>
      <c r="R233" s="7">
        <v>0.21</v>
      </c>
      <c r="S233" s="17">
        <v>0.55000000000000004</v>
      </c>
      <c r="T233" s="18">
        <f t="shared" si="3"/>
        <v>0.41062499999999996</v>
      </c>
    </row>
    <row r="234" spans="2:20" x14ac:dyDescent="0.3">
      <c r="B234" s="7" t="s">
        <v>267</v>
      </c>
      <c r="C234" s="7" t="s">
        <v>348</v>
      </c>
      <c r="D234" s="7">
        <v>0</v>
      </c>
      <c r="E234" s="7">
        <v>0.57999999999999996</v>
      </c>
      <c r="F234" s="7">
        <v>1</v>
      </c>
      <c r="G234" s="7">
        <v>0.71</v>
      </c>
      <c r="H234" s="7">
        <v>0</v>
      </c>
      <c r="I234" s="7">
        <v>0.99</v>
      </c>
      <c r="J234" s="7">
        <v>0.7</v>
      </c>
      <c r="K234" s="7">
        <v>0.41</v>
      </c>
      <c r="L234" s="7">
        <v>0.3</v>
      </c>
      <c r="M234" s="7">
        <v>0.26</v>
      </c>
      <c r="N234" s="7">
        <v>0.79</v>
      </c>
      <c r="O234" s="7">
        <v>0.81</v>
      </c>
      <c r="P234" s="7">
        <v>0.89</v>
      </c>
      <c r="Q234" s="7">
        <v>0.6</v>
      </c>
      <c r="R234" s="7">
        <v>0</v>
      </c>
      <c r="S234" s="17">
        <v>0.62</v>
      </c>
      <c r="T234" s="18">
        <f t="shared" si="3"/>
        <v>0.54125000000000001</v>
      </c>
    </row>
    <row r="235" spans="2:20" x14ac:dyDescent="0.3">
      <c r="B235" s="7" t="s">
        <v>268</v>
      </c>
      <c r="C235" s="7" t="s">
        <v>348</v>
      </c>
      <c r="D235" s="7">
        <v>0.61</v>
      </c>
      <c r="E235" s="7">
        <v>0.26</v>
      </c>
      <c r="F235" s="7">
        <v>0</v>
      </c>
      <c r="G235" s="7">
        <v>0.64</v>
      </c>
      <c r="H235" s="7">
        <v>0.97</v>
      </c>
      <c r="I235" s="7">
        <v>0.03</v>
      </c>
      <c r="J235" s="7">
        <v>0.44</v>
      </c>
      <c r="K235" s="7">
        <v>0</v>
      </c>
      <c r="L235" s="7">
        <v>0.47</v>
      </c>
      <c r="M235" s="7">
        <v>0.57999999999999996</v>
      </c>
      <c r="N235" s="7">
        <v>0.52</v>
      </c>
      <c r="O235" s="7">
        <v>0.46</v>
      </c>
      <c r="P235" s="7">
        <v>0.39</v>
      </c>
      <c r="Q235" s="7">
        <v>0</v>
      </c>
      <c r="R235" s="7">
        <v>0.6</v>
      </c>
      <c r="S235" s="17">
        <v>0</v>
      </c>
      <c r="T235" s="18">
        <f t="shared" si="3"/>
        <v>0.37312499999999993</v>
      </c>
    </row>
    <row r="236" spans="2:20" x14ac:dyDescent="0.3">
      <c r="B236" s="7" t="s">
        <v>269</v>
      </c>
      <c r="C236" s="7" t="s">
        <v>347</v>
      </c>
      <c r="D236" s="7">
        <v>0</v>
      </c>
      <c r="E236" s="7">
        <v>0</v>
      </c>
      <c r="F236" s="7">
        <v>0.18</v>
      </c>
      <c r="G236" s="7">
        <v>0.62</v>
      </c>
      <c r="H236" s="7">
        <v>0</v>
      </c>
      <c r="I236" s="7">
        <v>0.08</v>
      </c>
      <c r="J236" s="7">
        <v>0.15</v>
      </c>
      <c r="K236" s="7">
        <v>0.89</v>
      </c>
      <c r="L236" s="7">
        <v>0.1</v>
      </c>
      <c r="M236" s="7">
        <v>0.55000000000000004</v>
      </c>
      <c r="N236" s="7">
        <v>0.86</v>
      </c>
      <c r="O236" s="7">
        <v>0.84</v>
      </c>
      <c r="P236" s="7">
        <v>0.17</v>
      </c>
      <c r="Q236" s="7">
        <v>0</v>
      </c>
      <c r="R236" s="7">
        <v>0.48</v>
      </c>
      <c r="S236" s="17">
        <v>0.3</v>
      </c>
      <c r="T236" s="18">
        <f t="shared" si="3"/>
        <v>0.32624999999999998</v>
      </c>
    </row>
    <row r="237" spans="2:20" x14ac:dyDescent="0.3">
      <c r="B237" s="7" t="s">
        <v>270</v>
      </c>
      <c r="C237" s="7" t="s">
        <v>349</v>
      </c>
      <c r="D237" s="7">
        <v>0.16</v>
      </c>
      <c r="E237" s="7">
        <v>0</v>
      </c>
      <c r="F237" s="7">
        <v>0</v>
      </c>
      <c r="G237" s="7">
        <v>0.31</v>
      </c>
      <c r="H237" s="7">
        <v>0.84</v>
      </c>
      <c r="I237" s="7">
        <v>0.51</v>
      </c>
      <c r="J237" s="7">
        <v>0</v>
      </c>
      <c r="K237" s="7">
        <v>0</v>
      </c>
      <c r="L237" s="7">
        <v>0.55000000000000004</v>
      </c>
      <c r="M237" s="7">
        <v>0.25</v>
      </c>
      <c r="N237" s="7">
        <v>0.62</v>
      </c>
      <c r="O237" s="7">
        <v>0.62</v>
      </c>
      <c r="P237" s="7">
        <v>0.26</v>
      </c>
      <c r="Q237" s="7">
        <v>0</v>
      </c>
      <c r="R237" s="7">
        <v>0.59</v>
      </c>
      <c r="S237" s="17">
        <v>0.03</v>
      </c>
      <c r="T237" s="18">
        <f t="shared" si="3"/>
        <v>0.29625000000000001</v>
      </c>
    </row>
    <row r="238" spans="2:20" x14ac:dyDescent="0.3">
      <c r="B238" s="7" t="s">
        <v>271</v>
      </c>
      <c r="C238" s="7" t="s">
        <v>346</v>
      </c>
      <c r="D238" s="7">
        <v>0.44</v>
      </c>
      <c r="E238" s="7">
        <v>0</v>
      </c>
      <c r="F238" s="7">
        <v>0.14000000000000001</v>
      </c>
      <c r="G238" s="7">
        <v>0.63</v>
      </c>
      <c r="H238" s="7">
        <v>0</v>
      </c>
      <c r="I238" s="7">
        <v>0.23</v>
      </c>
      <c r="J238" s="7">
        <v>0.24</v>
      </c>
      <c r="K238" s="7">
        <v>0.57999999999999996</v>
      </c>
      <c r="L238" s="7">
        <v>0.57999999999999996</v>
      </c>
      <c r="M238" s="7">
        <v>0.92</v>
      </c>
      <c r="N238" s="7">
        <v>0</v>
      </c>
      <c r="O238" s="7">
        <v>0.99</v>
      </c>
      <c r="P238" s="7">
        <v>0.64</v>
      </c>
      <c r="Q238" s="7">
        <v>0.33</v>
      </c>
      <c r="R238" s="7">
        <v>0.15</v>
      </c>
      <c r="S238" s="17">
        <v>0.61</v>
      </c>
      <c r="T238" s="18">
        <f t="shared" si="3"/>
        <v>0.40500000000000003</v>
      </c>
    </row>
    <row r="239" spans="2:20" x14ac:dyDescent="0.3">
      <c r="B239" s="7" t="s">
        <v>272</v>
      </c>
      <c r="C239" s="7" t="s">
        <v>346</v>
      </c>
      <c r="D239" s="7">
        <v>0.88</v>
      </c>
      <c r="E239" s="7">
        <v>0.08</v>
      </c>
      <c r="F239" s="7">
        <v>0</v>
      </c>
      <c r="G239" s="7">
        <v>0</v>
      </c>
      <c r="H239" s="7">
        <v>0.76</v>
      </c>
      <c r="I239" s="7">
        <v>0</v>
      </c>
      <c r="J239" s="7">
        <v>0.83</v>
      </c>
      <c r="K239" s="7">
        <v>0.49</v>
      </c>
      <c r="L239" s="7">
        <v>0.65</v>
      </c>
      <c r="M239" s="7">
        <v>0.82</v>
      </c>
      <c r="N239" s="7">
        <v>0</v>
      </c>
      <c r="O239" s="7">
        <v>0.72</v>
      </c>
      <c r="P239" s="7">
        <v>0.19</v>
      </c>
      <c r="Q239" s="7">
        <v>0.57999999999999996</v>
      </c>
      <c r="R239" s="7">
        <v>0</v>
      </c>
      <c r="S239" s="17">
        <v>0.64</v>
      </c>
      <c r="T239" s="18">
        <f t="shared" si="3"/>
        <v>0.41499999999999998</v>
      </c>
    </row>
    <row r="240" spans="2:20" x14ac:dyDescent="0.3">
      <c r="B240" s="7" t="s">
        <v>273</v>
      </c>
      <c r="C240" s="7" t="s">
        <v>344</v>
      </c>
      <c r="D240" s="7">
        <v>0.62</v>
      </c>
      <c r="E240" s="7">
        <v>0.15</v>
      </c>
      <c r="F240" s="7">
        <v>0.48</v>
      </c>
      <c r="G240" s="7">
        <v>0.53</v>
      </c>
      <c r="H240" s="7">
        <v>0</v>
      </c>
      <c r="I240" s="7">
        <v>0</v>
      </c>
      <c r="J240" s="7">
        <v>0.27</v>
      </c>
      <c r="K240" s="7">
        <v>0</v>
      </c>
      <c r="L240" s="7">
        <v>0.4</v>
      </c>
      <c r="M240" s="7">
        <v>0</v>
      </c>
      <c r="N240" s="7">
        <v>0.33</v>
      </c>
      <c r="O240" s="7">
        <v>0.65</v>
      </c>
      <c r="P240" s="7">
        <v>0.81</v>
      </c>
      <c r="Q240" s="7">
        <v>0.05</v>
      </c>
      <c r="R240" s="7">
        <v>0</v>
      </c>
      <c r="S240" s="17">
        <v>0.4</v>
      </c>
      <c r="T240" s="18">
        <f t="shared" si="3"/>
        <v>0.29312500000000002</v>
      </c>
    </row>
    <row r="241" spans="2:20" x14ac:dyDescent="0.3">
      <c r="B241" s="7" t="s">
        <v>274</v>
      </c>
      <c r="C241" s="7" t="s">
        <v>348</v>
      </c>
      <c r="D241" s="7">
        <v>7.0000000000000007E-2</v>
      </c>
      <c r="E241" s="7">
        <v>0.42</v>
      </c>
      <c r="F241" s="7">
        <v>0.94</v>
      </c>
      <c r="G241" s="7">
        <v>0.13</v>
      </c>
      <c r="H241" s="7">
        <v>0.21</v>
      </c>
      <c r="I241" s="7">
        <v>0</v>
      </c>
      <c r="J241" s="7">
        <v>0.41</v>
      </c>
      <c r="K241" s="7">
        <v>0</v>
      </c>
      <c r="L241" s="7">
        <v>0.67</v>
      </c>
      <c r="M241" s="7">
        <v>0.56000000000000005</v>
      </c>
      <c r="N241" s="7">
        <v>0</v>
      </c>
      <c r="O241" s="7">
        <v>0.5</v>
      </c>
      <c r="P241" s="7">
        <v>0.01</v>
      </c>
      <c r="Q241" s="7">
        <v>0.6</v>
      </c>
      <c r="R241" s="7">
        <v>0.41</v>
      </c>
      <c r="S241" s="17">
        <v>0.2</v>
      </c>
      <c r="T241" s="18">
        <f t="shared" si="3"/>
        <v>0.32062499999999999</v>
      </c>
    </row>
    <row r="242" spans="2:20" x14ac:dyDescent="0.3">
      <c r="B242" s="7" t="s">
        <v>275</v>
      </c>
      <c r="C242" s="7" t="s">
        <v>348</v>
      </c>
      <c r="D242" s="7">
        <v>0.68</v>
      </c>
      <c r="E242" s="7">
        <v>0.34</v>
      </c>
      <c r="F242" s="7">
        <v>0.21</v>
      </c>
      <c r="G242" s="7">
        <v>0</v>
      </c>
      <c r="H242" s="7">
        <v>0.37</v>
      </c>
      <c r="I242" s="7">
        <v>0.46</v>
      </c>
      <c r="J242" s="7">
        <v>0.9</v>
      </c>
      <c r="K242" s="7">
        <v>0.39</v>
      </c>
      <c r="L242" s="7">
        <v>0.05</v>
      </c>
      <c r="M242" s="7">
        <v>0.97</v>
      </c>
      <c r="N242" s="7">
        <v>0.12</v>
      </c>
      <c r="O242" s="7">
        <v>0.61</v>
      </c>
      <c r="P242" s="7">
        <v>0.78</v>
      </c>
      <c r="Q242" s="7">
        <v>0</v>
      </c>
      <c r="R242" s="7">
        <v>0.21</v>
      </c>
      <c r="S242" s="17">
        <v>0.09</v>
      </c>
      <c r="T242" s="18">
        <f t="shared" si="3"/>
        <v>0.38625000000000004</v>
      </c>
    </row>
    <row r="243" spans="2:20" x14ac:dyDescent="0.3">
      <c r="B243" s="7" t="s">
        <v>276</v>
      </c>
      <c r="C243" s="7" t="s">
        <v>349</v>
      </c>
      <c r="D243" s="7">
        <v>0.56000000000000005</v>
      </c>
      <c r="E243" s="7">
        <v>0.52</v>
      </c>
      <c r="F243" s="7">
        <v>0.75</v>
      </c>
      <c r="G243" s="7">
        <v>0.22</v>
      </c>
      <c r="H243" s="7">
        <v>0</v>
      </c>
      <c r="I243" s="7">
        <v>0.43</v>
      </c>
      <c r="J243" s="7">
        <v>0.66</v>
      </c>
      <c r="K243" s="7">
        <v>0.54</v>
      </c>
      <c r="L243" s="7">
        <v>0.16</v>
      </c>
      <c r="M243" s="7">
        <v>0.1</v>
      </c>
      <c r="N243" s="7">
        <v>0.61</v>
      </c>
      <c r="O243" s="7">
        <v>0.53</v>
      </c>
      <c r="P243" s="7">
        <v>0.34</v>
      </c>
      <c r="Q243" s="7">
        <v>0.63</v>
      </c>
      <c r="R243" s="7">
        <v>0.28000000000000003</v>
      </c>
      <c r="S243" s="17">
        <v>0.14000000000000001</v>
      </c>
      <c r="T243" s="18">
        <f t="shared" si="3"/>
        <v>0.40437500000000004</v>
      </c>
    </row>
    <row r="244" spans="2:20" x14ac:dyDescent="0.3">
      <c r="B244" s="7" t="s">
        <v>277</v>
      </c>
      <c r="C244" s="7" t="s">
        <v>346</v>
      </c>
      <c r="D244" s="7">
        <v>0.17</v>
      </c>
      <c r="E244" s="7">
        <v>0.74</v>
      </c>
      <c r="F244" s="7">
        <v>0.76</v>
      </c>
      <c r="G244" s="7">
        <v>1</v>
      </c>
      <c r="H244" s="7">
        <v>0.14000000000000001</v>
      </c>
      <c r="I244" s="7">
        <v>0.98</v>
      </c>
      <c r="J244" s="7">
        <v>0.18</v>
      </c>
      <c r="K244" s="7">
        <v>0.06</v>
      </c>
      <c r="L244" s="7">
        <v>0.28000000000000003</v>
      </c>
      <c r="M244" s="7">
        <v>0</v>
      </c>
      <c r="N244" s="7">
        <v>0.6</v>
      </c>
      <c r="O244" s="7">
        <v>0</v>
      </c>
      <c r="P244" s="7">
        <v>0</v>
      </c>
      <c r="Q244" s="7">
        <v>0.4</v>
      </c>
      <c r="R244" s="7">
        <v>0.25</v>
      </c>
      <c r="S244" s="17">
        <v>0.94</v>
      </c>
      <c r="T244" s="18">
        <f t="shared" si="3"/>
        <v>0.40625</v>
      </c>
    </row>
    <row r="245" spans="2:20" x14ac:dyDescent="0.3">
      <c r="B245" s="7" t="s">
        <v>278</v>
      </c>
      <c r="C245" s="7" t="s">
        <v>345</v>
      </c>
      <c r="D245" s="7">
        <v>0</v>
      </c>
      <c r="E245" s="7">
        <v>0</v>
      </c>
      <c r="F245" s="7">
        <v>0</v>
      </c>
      <c r="G245" s="7">
        <v>0.94</v>
      </c>
      <c r="H245" s="7">
        <v>0.94</v>
      </c>
      <c r="I245" s="7">
        <v>0.62</v>
      </c>
      <c r="J245" s="7">
        <v>0</v>
      </c>
      <c r="K245" s="7">
        <v>0</v>
      </c>
      <c r="L245" s="7">
        <v>0.57999999999999996</v>
      </c>
      <c r="M245" s="7">
        <v>0</v>
      </c>
      <c r="N245" s="7">
        <v>0</v>
      </c>
      <c r="O245" s="7">
        <v>0.56999999999999995</v>
      </c>
      <c r="P245" s="7">
        <v>0.57999999999999996</v>
      </c>
      <c r="Q245" s="7">
        <v>0.83</v>
      </c>
      <c r="R245" s="7">
        <v>0.5</v>
      </c>
      <c r="S245" s="17">
        <v>0.38</v>
      </c>
      <c r="T245" s="18">
        <f t="shared" si="3"/>
        <v>0.37124999999999997</v>
      </c>
    </row>
    <row r="246" spans="2:20" x14ac:dyDescent="0.3">
      <c r="B246" s="7" t="s">
        <v>279</v>
      </c>
      <c r="C246" s="7" t="s">
        <v>345</v>
      </c>
      <c r="D246" s="7">
        <v>0</v>
      </c>
      <c r="E246" s="7">
        <v>0</v>
      </c>
      <c r="F246" s="7">
        <v>0.6</v>
      </c>
      <c r="G246" s="7">
        <v>0.01</v>
      </c>
      <c r="H246" s="7">
        <v>0</v>
      </c>
      <c r="I246" s="7">
        <v>0.85</v>
      </c>
      <c r="J246" s="7">
        <v>0.73</v>
      </c>
      <c r="K246" s="7">
        <v>0.17</v>
      </c>
      <c r="L246" s="7">
        <v>0.8</v>
      </c>
      <c r="M246" s="7">
        <v>0.03</v>
      </c>
      <c r="N246" s="7">
        <v>0.13</v>
      </c>
      <c r="O246" s="7">
        <v>0.49</v>
      </c>
      <c r="P246" s="7">
        <v>0.96</v>
      </c>
      <c r="Q246" s="7">
        <v>0</v>
      </c>
      <c r="R246" s="7">
        <v>0.15</v>
      </c>
      <c r="S246" s="17">
        <v>0.32</v>
      </c>
      <c r="T246" s="18">
        <f t="shared" si="3"/>
        <v>0.32750000000000001</v>
      </c>
    </row>
    <row r="247" spans="2:20" x14ac:dyDescent="0.3">
      <c r="B247" s="7" t="s">
        <v>280</v>
      </c>
      <c r="C247" s="7" t="s">
        <v>348</v>
      </c>
      <c r="D247" s="7">
        <v>0</v>
      </c>
      <c r="E247" s="7">
        <v>0.55000000000000004</v>
      </c>
      <c r="F247" s="7">
        <v>0.17</v>
      </c>
      <c r="G247" s="7">
        <v>0.97</v>
      </c>
      <c r="H247" s="7">
        <v>0</v>
      </c>
      <c r="I247" s="7">
        <v>0.21</v>
      </c>
      <c r="J247" s="7">
        <v>0.23</v>
      </c>
      <c r="K247" s="7">
        <v>0.31</v>
      </c>
      <c r="L247" s="7">
        <v>7.0000000000000007E-2</v>
      </c>
      <c r="M247" s="7">
        <v>0.83</v>
      </c>
      <c r="N247" s="7">
        <v>0.19</v>
      </c>
      <c r="O247" s="7">
        <v>0.95</v>
      </c>
      <c r="P247" s="7">
        <v>0</v>
      </c>
      <c r="Q247" s="7">
        <v>0.14000000000000001</v>
      </c>
      <c r="R247" s="7">
        <v>0</v>
      </c>
      <c r="S247" s="17">
        <v>0</v>
      </c>
      <c r="T247" s="18">
        <f t="shared" si="3"/>
        <v>0.28874999999999995</v>
      </c>
    </row>
    <row r="248" spans="2:20" x14ac:dyDescent="0.3">
      <c r="B248" s="7" t="s">
        <v>281</v>
      </c>
      <c r="C248" s="7" t="s">
        <v>349</v>
      </c>
      <c r="D248" s="7">
        <v>0</v>
      </c>
      <c r="E248" s="7">
        <v>0.15</v>
      </c>
      <c r="F248" s="7">
        <v>0.14000000000000001</v>
      </c>
      <c r="G248" s="7">
        <v>0.79</v>
      </c>
      <c r="H248" s="7">
        <v>0.44</v>
      </c>
      <c r="I248" s="7">
        <v>0.12</v>
      </c>
      <c r="J248" s="7">
        <v>0.72</v>
      </c>
      <c r="K248" s="7">
        <v>0.98</v>
      </c>
      <c r="L248" s="7">
        <v>0</v>
      </c>
      <c r="M248" s="7">
        <v>0.03</v>
      </c>
      <c r="N248" s="7">
        <v>7.0000000000000007E-2</v>
      </c>
      <c r="O248" s="7">
        <v>0</v>
      </c>
      <c r="P248" s="7">
        <v>0</v>
      </c>
      <c r="Q248" s="7">
        <v>0.5</v>
      </c>
      <c r="R248" s="7">
        <v>7.0000000000000007E-2</v>
      </c>
      <c r="S248" s="17">
        <v>0</v>
      </c>
      <c r="T248" s="18">
        <f t="shared" si="3"/>
        <v>0.25062499999999999</v>
      </c>
    </row>
    <row r="249" spans="2:20" x14ac:dyDescent="0.3">
      <c r="B249" s="7" t="s">
        <v>282</v>
      </c>
      <c r="C249" s="7" t="s">
        <v>345</v>
      </c>
      <c r="D249" s="7">
        <v>0.46</v>
      </c>
      <c r="E249" s="7">
        <v>0.36</v>
      </c>
      <c r="F249" s="7">
        <v>0.57999999999999996</v>
      </c>
      <c r="G249" s="7">
        <v>0.64</v>
      </c>
      <c r="H249" s="7">
        <v>7.0000000000000007E-2</v>
      </c>
      <c r="I249" s="7">
        <v>0</v>
      </c>
      <c r="J249" s="7">
        <v>0.09</v>
      </c>
      <c r="K249" s="7">
        <v>0.34</v>
      </c>
      <c r="L249" s="7">
        <v>0.06</v>
      </c>
      <c r="M249" s="7">
        <v>0.56000000000000005</v>
      </c>
      <c r="N249" s="7">
        <v>0</v>
      </c>
      <c r="O249" s="7">
        <v>0.94</v>
      </c>
      <c r="P249" s="7">
        <v>0.7</v>
      </c>
      <c r="Q249" s="7">
        <v>0.78</v>
      </c>
      <c r="R249" s="7">
        <v>0</v>
      </c>
      <c r="S249" s="17">
        <v>0.52</v>
      </c>
      <c r="T249" s="18">
        <f t="shared" si="3"/>
        <v>0.38124999999999998</v>
      </c>
    </row>
    <row r="250" spans="2:20" x14ac:dyDescent="0.3">
      <c r="B250" s="7" t="s">
        <v>283</v>
      </c>
      <c r="C250" s="7" t="s">
        <v>344</v>
      </c>
      <c r="D250" s="7">
        <v>0.91</v>
      </c>
      <c r="E250" s="7">
        <v>0.44</v>
      </c>
      <c r="F250" s="7">
        <v>0.78</v>
      </c>
      <c r="G250" s="7">
        <v>0.31</v>
      </c>
      <c r="H250" s="7">
        <v>0.28999999999999998</v>
      </c>
      <c r="I250" s="7">
        <v>0</v>
      </c>
      <c r="J250" s="7">
        <v>0.39</v>
      </c>
      <c r="K250" s="7">
        <v>0.82</v>
      </c>
      <c r="L250" s="7">
        <v>0.28999999999999998</v>
      </c>
      <c r="M250" s="7">
        <v>0.72</v>
      </c>
      <c r="N250" s="7">
        <v>0.01</v>
      </c>
      <c r="O250" s="7">
        <v>0.56000000000000005</v>
      </c>
      <c r="P250" s="7">
        <v>0.08</v>
      </c>
      <c r="Q250" s="7">
        <v>0.06</v>
      </c>
      <c r="R250" s="7">
        <v>0.23</v>
      </c>
      <c r="S250" s="17">
        <v>0.54</v>
      </c>
      <c r="T250" s="18">
        <f t="shared" si="3"/>
        <v>0.40187499999999998</v>
      </c>
    </row>
    <row r="251" spans="2:20" x14ac:dyDescent="0.3">
      <c r="B251" s="7" t="s">
        <v>284</v>
      </c>
      <c r="C251" s="7" t="s">
        <v>347</v>
      </c>
      <c r="D251" s="7">
        <v>0.27</v>
      </c>
      <c r="E251" s="7">
        <v>0</v>
      </c>
      <c r="F251" s="7">
        <v>0</v>
      </c>
      <c r="G251" s="7">
        <v>0.22</v>
      </c>
      <c r="H251" s="7">
        <v>0.03</v>
      </c>
      <c r="I251" s="7">
        <v>0.79</v>
      </c>
      <c r="J251" s="7">
        <v>0.89</v>
      </c>
      <c r="K251" s="7">
        <v>0</v>
      </c>
      <c r="L251" s="7">
        <v>0.6</v>
      </c>
      <c r="M251" s="7">
        <v>0</v>
      </c>
      <c r="N251" s="7">
        <v>0</v>
      </c>
      <c r="O251" s="7">
        <v>0</v>
      </c>
      <c r="P251" s="7">
        <v>0.6</v>
      </c>
      <c r="Q251" s="7">
        <v>0.57999999999999996</v>
      </c>
      <c r="R251" s="7">
        <v>0</v>
      </c>
      <c r="S251" s="17">
        <v>0.98</v>
      </c>
      <c r="T251" s="18">
        <f t="shared" si="3"/>
        <v>0.31000000000000005</v>
      </c>
    </row>
    <row r="252" spans="2:20" x14ac:dyDescent="0.3">
      <c r="B252" s="7" t="s">
        <v>285</v>
      </c>
      <c r="C252" s="7" t="s">
        <v>344</v>
      </c>
      <c r="D252" s="7">
        <v>0</v>
      </c>
      <c r="E252" s="7">
        <v>0.65</v>
      </c>
      <c r="F252" s="7">
        <v>1</v>
      </c>
      <c r="G252" s="7">
        <v>0.19</v>
      </c>
      <c r="H252" s="7">
        <v>0.92</v>
      </c>
      <c r="I252" s="7">
        <v>0.91</v>
      </c>
      <c r="J252" s="7">
        <v>0</v>
      </c>
      <c r="K252" s="7">
        <v>0.03</v>
      </c>
      <c r="L252" s="7">
        <v>0.26</v>
      </c>
      <c r="M252" s="7">
        <v>0.68</v>
      </c>
      <c r="N252" s="7">
        <v>0.42</v>
      </c>
      <c r="O252" s="7">
        <v>0</v>
      </c>
      <c r="P252" s="7">
        <v>0.98</v>
      </c>
      <c r="Q252" s="7">
        <v>0.86</v>
      </c>
      <c r="R252" s="7">
        <v>0.93</v>
      </c>
      <c r="S252" s="17">
        <v>0.36</v>
      </c>
      <c r="T252" s="18">
        <f t="shared" si="3"/>
        <v>0.51187499999999997</v>
      </c>
    </row>
    <row r="253" spans="2:20" x14ac:dyDescent="0.3">
      <c r="B253" s="7" t="s">
        <v>286</v>
      </c>
      <c r="C253" s="7" t="s">
        <v>348</v>
      </c>
      <c r="D253" s="7">
        <v>0</v>
      </c>
      <c r="E253" s="7">
        <v>0.99</v>
      </c>
      <c r="F253" s="7">
        <v>0.28000000000000003</v>
      </c>
      <c r="G253" s="7">
        <v>0.42</v>
      </c>
      <c r="H253" s="7">
        <v>0.96</v>
      </c>
      <c r="I253" s="7">
        <v>0.83</v>
      </c>
      <c r="J253" s="7">
        <v>0</v>
      </c>
      <c r="K253" s="7">
        <v>0</v>
      </c>
      <c r="L253" s="7">
        <v>0.69</v>
      </c>
      <c r="M253" s="7">
        <v>0.56999999999999995</v>
      </c>
      <c r="N253" s="7">
        <v>0.91</v>
      </c>
      <c r="O253" s="7">
        <v>0.8</v>
      </c>
      <c r="P253" s="7">
        <v>0</v>
      </c>
      <c r="Q253" s="7">
        <v>1</v>
      </c>
      <c r="R253" s="7">
        <v>0</v>
      </c>
      <c r="S253" s="17">
        <v>0.06</v>
      </c>
      <c r="T253" s="18">
        <f t="shared" si="3"/>
        <v>0.46937499999999999</v>
      </c>
    </row>
    <row r="254" spans="2:20" x14ac:dyDescent="0.3">
      <c r="B254" s="7" t="s">
        <v>287</v>
      </c>
      <c r="C254" s="7" t="s">
        <v>349</v>
      </c>
      <c r="D254" s="7">
        <v>0.26</v>
      </c>
      <c r="E254" s="7">
        <v>0</v>
      </c>
      <c r="F254" s="7">
        <v>0.7</v>
      </c>
      <c r="G254" s="7">
        <v>0.13</v>
      </c>
      <c r="H254" s="7">
        <v>0</v>
      </c>
      <c r="I254" s="7">
        <v>0.71</v>
      </c>
      <c r="J254" s="7">
        <v>0.89</v>
      </c>
      <c r="K254" s="7">
        <v>0.51</v>
      </c>
      <c r="L254" s="7">
        <v>0.22</v>
      </c>
      <c r="M254" s="7">
        <v>0</v>
      </c>
      <c r="N254" s="7">
        <v>0.42</v>
      </c>
      <c r="O254" s="7">
        <v>0.02</v>
      </c>
      <c r="P254" s="7">
        <v>0.06</v>
      </c>
      <c r="Q254" s="7">
        <v>0.2</v>
      </c>
      <c r="R254" s="7">
        <v>0</v>
      </c>
      <c r="S254" s="17">
        <v>0.91</v>
      </c>
      <c r="T254" s="18">
        <f t="shared" si="3"/>
        <v>0.31437500000000002</v>
      </c>
    </row>
    <row r="255" spans="2:20" x14ac:dyDescent="0.3">
      <c r="B255" s="7" t="s">
        <v>288</v>
      </c>
      <c r="C255" s="7" t="s">
        <v>349</v>
      </c>
      <c r="D255" s="7">
        <v>0.39</v>
      </c>
      <c r="E255" s="7">
        <v>0.95</v>
      </c>
      <c r="F255" s="7">
        <v>0.91</v>
      </c>
      <c r="G255" s="7">
        <v>0.34</v>
      </c>
      <c r="H255" s="7">
        <v>0.99</v>
      </c>
      <c r="I255" s="7">
        <v>0.46</v>
      </c>
      <c r="J255" s="7">
        <v>0.93</v>
      </c>
      <c r="K255" s="7">
        <v>0</v>
      </c>
      <c r="L255" s="7">
        <v>0.49</v>
      </c>
      <c r="M255" s="7">
        <v>0.19</v>
      </c>
      <c r="N255" s="7">
        <v>0</v>
      </c>
      <c r="O255" s="7">
        <v>0</v>
      </c>
      <c r="P255" s="7">
        <v>0.88</v>
      </c>
      <c r="Q255" s="7">
        <v>0</v>
      </c>
      <c r="R255" s="7">
        <v>0.48</v>
      </c>
      <c r="S255" s="17">
        <v>0.64</v>
      </c>
      <c r="T255" s="18">
        <f t="shared" si="3"/>
        <v>0.47812499999999997</v>
      </c>
    </row>
    <row r="256" spans="2:20" x14ac:dyDescent="0.3">
      <c r="B256" s="7" t="s">
        <v>289</v>
      </c>
      <c r="C256" s="7" t="s">
        <v>349</v>
      </c>
      <c r="D256" s="7">
        <v>0.37</v>
      </c>
      <c r="E256" s="7">
        <v>0</v>
      </c>
      <c r="F256" s="7">
        <v>0.51</v>
      </c>
      <c r="G256" s="7">
        <v>0.31</v>
      </c>
      <c r="H256" s="7">
        <v>0.63</v>
      </c>
      <c r="I256" s="7">
        <v>0.9</v>
      </c>
      <c r="J256" s="7">
        <v>0.59</v>
      </c>
      <c r="K256" s="7">
        <v>0</v>
      </c>
      <c r="L256" s="7">
        <v>0.73</v>
      </c>
      <c r="M256" s="7">
        <v>0.46</v>
      </c>
      <c r="N256" s="7">
        <v>0.97</v>
      </c>
      <c r="O256" s="7">
        <v>0.96</v>
      </c>
      <c r="P256" s="7">
        <v>0.28999999999999998</v>
      </c>
      <c r="Q256" s="7">
        <v>0.54</v>
      </c>
      <c r="R256" s="7">
        <v>0.94</v>
      </c>
      <c r="S256" s="17">
        <v>0.27</v>
      </c>
      <c r="T256" s="18">
        <f t="shared" si="3"/>
        <v>0.52937499999999993</v>
      </c>
    </row>
    <row r="257" spans="2:20" x14ac:dyDescent="0.3">
      <c r="B257" s="7" t="s">
        <v>290</v>
      </c>
      <c r="C257" s="7" t="s">
        <v>344</v>
      </c>
      <c r="D257" s="7">
        <v>0.78</v>
      </c>
      <c r="E257" s="7">
        <v>0.6</v>
      </c>
      <c r="F257" s="7">
        <v>0.19</v>
      </c>
      <c r="G257" s="7">
        <v>0</v>
      </c>
      <c r="H257" s="7">
        <v>0.53</v>
      </c>
      <c r="I257" s="7">
        <v>0.93</v>
      </c>
      <c r="J257" s="7">
        <v>0.19</v>
      </c>
      <c r="K257" s="7">
        <v>0.04</v>
      </c>
      <c r="L257" s="7">
        <v>0.22</v>
      </c>
      <c r="M257" s="7">
        <v>0</v>
      </c>
      <c r="N257" s="7">
        <v>0.95</v>
      </c>
      <c r="O257" s="7">
        <v>0.87</v>
      </c>
      <c r="P257" s="7">
        <v>0.6</v>
      </c>
      <c r="Q257" s="7">
        <v>0.57999999999999996</v>
      </c>
      <c r="R257" s="7">
        <v>0.47</v>
      </c>
      <c r="S257" s="17">
        <v>0.27</v>
      </c>
      <c r="T257" s="18">
        <f t="shared" si="3"/>
        <v>0.45124999999999993</v>
      </c>
    </row>
    <row r="258" spans="2:20" x14ac:dyDescent="0.3">
      <c r="B258" s="7" t="s">
        <v>291</v>
      </c>
      <c r="C258" s="7" t="s">
        <v>345</v>
      </c>
      <c r="D258" s="7">
        <v>0.54</v>
      </c>
      <c r="E258" s="7">
        <v>0</v>
      </c>
      <c r="F258" s="7">
        <v>0.53</v>
      </c>
      <c r="G258" s="7">
        <v>0</v>
      </c>
      <c r="H258" s="7">
        <v>0.09</v>
      </c>
      <c r="I258" s="7">
        <v>1</v>
      </c>
      <c r="J258" s="7">
        <v>0.87</v>
      </c>
      <c r="K258" s="7">
        <v>0.77</v>
      </c>
      <c r="L258" s="7">
        <v>0</v>
      </c>
      <c r="M258" s="7">
        <v>0.12</v>
      </c>
      <c r="N258" s="7">
        <v>0</v>
      </c>
      <c r="O258" s="7">
        <v>0</v>
      </c>
      <c r="P258" s="7">
        <v>0.14000000000000001</v>
      </c>
      <c r="Q258" s="7">
        <v>0.28000000000000003</v>
      </c>
      <c r="R258" s="7">
        <v>0.4</v>
      </c>
      <c r="S258" s="17">
        <v>0.79</v>
      </c>
      <c r="T258" s="18">
        <f t="shared" si="3"/>
        <v>0.34562500000000007</v>
      </c>
    </row>
    <row r="259" spans="2:20" x14ac:dyDescent="0.3">
      <c r="B259" s="7" t="s">
        <v>292</v>
      </c>
      <c r="C259" s="7" t="s">
        <v>346</v>
      </c>
      <c r="D259" s="7">
        <v>0.13</v>
      </c>
      <c r="E259" s="7">
        <v>7.0000000000000007E-2</v>
      </c>
      <c r="F259" s="7">
        <v>0.79</v>
      </c>
      <c r="G259" s="7">
        <v>0.46</v>
      </c>
      <c r="H259" s="7">
        <v>0.53</v>
      </c>
      <c r="I259" s="7">
        <v>0.7</v>
      </c>
      <c r="J259" s="7">
        <v>0.96</v>
      </c>
      <c r="K259" s="7">
        <v>0.61</v>
      </c>
      <c r="L259" s="7">
        <v>0</v>
      </c>
      <c r="M259" s="7">
        <v>0.5</v>
      </c>
      <c r="N259" s="7">
        <v>0</v>
      </c>
      <c r="O259" s="7">
        <v>0</v>
      </c>
      <c r="P259" s="7">
        <v>0.45</v>
      </c>
      <c r="Q259" s="7">
        <v>0</v>
      </c>
      <c r="R259" s="7">
        <v>0.02</v>
      </c>
      <c r="S259" s="17">
        <v>0.38</v>
      </c>
      <c r="T259" s="18">
        <f t="shared" si="3"/>
        <v>0.35</v>
      </c>
    </row>
    <row r="260" spans="2:20" x14ac:dyDescent="0.3">
      <c r="B260" s="7" t="s">
        <v>293</v>
      </c>
      <c r="C260" s="7" t="s">
        <v>349</v>
      </c>
      <c r="D260" s="7">
        <v>0.72</v>
      </c>
      <c r="E260" s="7">
        <v>0.51</v>
      </c>
      <c r="F260" s="7">
        <v>0.12</v>
      </c>
      <c r="G260" s="7">
        <v>0.48</v>
      </c>
      <c r="H260" s="7">
        <v>0.84</v>
      </c>
      <c r="I260" s="7">
        <v>0.6</v>
      </c>
      <c r="J260" s="7">
        <v>0.22</v>
      </c>
      <c r="K260" s="7">
        <v>0.87</v>
      </c>
      <c r="L260" s="7">
        <v>0.1</v>
      </c>
      <c r="M260" s="7">
        <v>0.09</v>
      </c>
      <c r="N260" s="7">
        <v>0.8</v>
      </c>
      <c r="O260" s="7">
        <v>0</v>
      </c>
      <c r="P260" s="7">
        <v>0</v>
      </c>
      <c r="Q260" s="7">
        <v>0.48</v>
      </c>
      <c r="R260" s="7">
        <v>0.74</v>
      </c>
      <c r="S260" s="17">
        <v>0.42</v>
      </c>
      <c r="T260" s="18">
        <f t="shared" ref="T260:T315" si="4">AVERAGE(D260:S260)</f>
        <v>0.43687500000000001</v>
      </c>
    </row>
    <row r="261" spans="2:20" x14ac:dyDescent="0.3">
      <c r="B261" s="7" t="s">
        <v>294</v>
      </c>
      <c r="C261" s="7" t="s">
        <v>349</v>
      </c>
      <c r="D261" s="7">
        <v>0.49</v>
      </c>
      <c r="E261" s="7">
        <v>0.64</v>
      </c>
      <c r="F261" s="7">
        <v>0.08</v>
      </c>
      <c r="G261" s="7">
        <v>0.44</v>
      </c>
      <c r="H261" s="7">
        <v>0.53</v>
      </c>
      <c r="I261" s="7">
        <v>0.24</v>
      </c>
      <c r="J261" s="7">
        <v>0</v>
      </c>
      <c r="K261" s="7">
        <v>0</v>
      </c>
      <c r="L261" s="7">
        <v>0.23</v>
      </c>
      <c r="M261" s="7">
        <v>0</v>
      </c>
      <c r="N261" s="7">
        <v>0.33</v>
      </c>
      <c r="O261" s="7">
        <v>0.08</v>
      </c>
      <c r="P261" s="7">
        <v>0.34</v>
      </c>
      <c r="Q261" s="7">
        <v>0.05</v>
      </c>
      <c r="R261" s="7">
        <v>0.26</v>
      </c>
      <c r="S261" s="17">
        <v>0.87</v>
      </c>
      <c r="T261" s="18">
        <f t="shared" si="4"/>
        <v>0.28625</v>
      </c>
    </row>
    <row r="262" spans="2:20" x14ac:dyDescent="0.3">
      <c r="B262" s="7" t="s">
        <v>212</v>
      </c>
      <c r="C262" s="7" t="s">
        <v>347</v>
      </c>
      <c r="D262" s="7">
        <v>0.72</v>
      </c>
      <c r="E262" s="7">
        <v>0</v>
      </c>
      <c r="F262" s="7">
        <v>0</v>
      </c>
      <c r="G262" s="7">
        <v>0.02</v>
      </c>
      <c r="H262" s="7">
        <v>0.78</v>
      </c>
      <c r="I262" s="7">
        <v>0.89</v>
      </c>
      <c r="J262" s="7">
        <v>0.08</v>
      </c>
      <c r="K262" s="7">
        <v>0.6</v>
      </c>
      <c r="L262" s="7">
        <v>0.17</v>
      </c>
      <c r="M262" s="7">
        <v>0.88</v>
      </c>
      <c r="N262" s="7">
        <v>0.95</v>
      </c>
      <c r="O262" s="7">
        <v>0.99</v>
      </c>
      <c r="P262" s="7">
        <v>0</v>
      </c>
      <c r="Q262" s="7">
        <v>0.03</v>
      </c>
      <c r="R262" s="7">
        <v>0.73</v>
      </c>
      <c r="S262" s="17">
        <v>1</v>
      </c>
      <c r="T262" s="18">
        <f t="shared" si="4"/>
        <v>0.4900000000000001</v>
      </c>
    </row>
    <row r="263" spans="2:20" x14ac:dyDescent="0.3">
      <c r="B263" s="7" t="s">
        <v>295</v>
      </c>
      <c r="C263" s="7" t="s">
        <v>344</v>
      </c>
      <c r="D263" s="7">
        <v>0</v>
      </c>
      <c r="E263" s="7">
        <v>0.43</v>
      </c>
      <c r="F263" s="7">
        <v>0.25</v>
      </c>
      <c r="G263" s="7">
        <v>0.36</v>
      </c>
      <c r="H263" s="7">
        <v>0.79</v>
      </c>
      <c r="I263" s="7">
        <v>0.64</v>
      </c>
      <c r="J263" s="7">
        <v>0.27</v>
      </c>
      <c r="K263" s="7">
        <v>0.03</v>
      </c>
      <c r="L263" s="7">
        <v>0.91</v>
      </c>
      <c r="M263" s="7">
        <v>0.06</v>
      </c>
      <c r="N263" s="7">
        <v>0.16</v>
      </c>
      <c r="O263" s="7">
        <v>0.76</v>
      </c>
      <c r="P263" s="7">
        <v>0.5</v>
      </c>
      <c r="Q263" s="7">
        <v>0</v>
      </c>
      <c r="R263" s="7">
        <v>0</v>
      </c>
      <c r="S263" s="17">
        <v>0</v>
      </c>
      <c r="T263" s="18">
        <f t="shared" si="4"/>
        <v>0.32250000000000001</v>
      </c>
    </row>
    <row r="264" spans="2:20" x14ac:dyDescent="0.3">
      <c r="B264" s="7" t="s">
        <v>296</v>
      </c>
      <c r="C264" s="7" t="s">
        <v>345</v>
      </c>
      <c r="D264" s="7">
        <v>0.88</v>
      </c>
      <c r="E264" s="7">
        <v>0.72</v>
      </c>
      <c r="F264" s="7">
        <v>0.34</v>
      </c>
      <c r="G264" s="7">
        <v>0.78</v>
      </c>
      <c r="H264" s="7">
        <v>0</v>
      </c>
      <c r="I264" s="7">
        <v>0.16</v>
      </c>
      <c r="J264" s="7">
        <v>0.95</v>
      </c>
      <c r="K264" s="7">
        <v>0.9</v>
      </c>
      <c r="L264" s="7">
        <v>0</v>
      </c>
      <c r="M264" s="7">
        <v>0.96</v>
      </c>
      <c r="N264" s="7">
        <v>0.91</v>
      </c>
      <c r="O264" s="7">
        <v>0.28000000000000003</v>
      </c>
      <c r="P264" s="7">
        <v>0.48</v>
      </c>
      <c r="Q264" s="7">
        <v>0.86</v>
      </c>
      <c r="R264" s="7">
        <v>0.03</v>
      </c>
      <c r="S264" s="17">
        <v>0.8</v>
      </c>
      <c r="T264" s="18">
        <f t="shared" si="4"/>
        <v>0.56562500000000004</v>
      </c>
    </row>
    <row r="265" spans="2:20" x14ac:dyDescent="0.3">
      <c r="B265" s="7" t="s">
        <v>297</v>
      </c>
      <c r="C265" s="7" t="s">
        <v>344</v>
      </c>
      <c r="D265" s="7">
        <v>0.93</v>
      </c>
      <c r="E265" s="7">
        <v>0</v>
      </c>
      <c r="F265" s="7">
        <v>0.16</v>
      </c>
      <c r="G265" s="7">
        <v>0</v>
      </c>
      <c r="H265" s="7">
        <v>0.33</v>
      </c>
      <c r="I265" s="7">
        <v>0</v>
      </c>
      <c r="J265" s="7">
        <v>0.75</v>
      </c>
      <c r="K265" s="7">
        <v>0.15</v>
      </c>
      <c r="L265" s="7">
        <v>0</v>
      </c>
      <c r="M265" s="7">
        <v>0.64</v>
      </c>
      <c r="N265" s="7">
        <v>0.09</v>
      </c>
      <c r="O265" s="7">
        <v>0.32</v>
      </c>
      <c r="P265" s="7">
        <v>0</v>
      </c>
      <c r="Q265" s="7">
        <v>0.49</v>
      </c>
      <c r="R265" s="7">
        <v>0.97</v>
      </c>
      <c r="S265" s="17">
        <v>0.28999999999999998</v>
      </c>
      <c r="T265" s="18">
        <f t="shared" si="4"/>
        <v>0.31999999999999995</v>
      </c>
    </row>
    <row r="266" spans="2:20" x14ac:dyDescent="0.3">
      <c r="B266" s="7" t="s">
        <v>293</v>
      </c>
      <c r="C266" s="7" t="s">
        <v>346</v>
      </c>
      <c r="D266" s="7">
        <v>0.01</v>
      </c>
      <c r="E266" s="7">
        <v>0.26</v>
      </c>
      <c r="F266" s="7">
        <v>0.2</v>
      </c>
      <c r="G266" s="7">
        <v>0.99</v>
      </c>
      <c r="H266" s="7">
        <v>0.02</v>
      </c>
      <c r="I266" s="7">
        <v>0.7</v>
      </c>
      <c r="J266" s="7">
        <v>0</v>
      </c>
      <c r="K266" s="7">
        <v>0.5</v>
      </c>
      <c r="L266" s="7">
        <v>0</v>
      </c>
      <c r="M266" s="7">
        <v>0.45</v>
      </c>
      <c r="N266" s="7">
        <v>0.91</v>
      </c>
      <c r="O266" s="7">
        <v>0.69</v>
      </c>
      <c r="P266" s="7">
        <v>0.56000000000000005</v>
      </c>
      <c r="Q266" s="7">
        <v>0.25</v>
      </c>
      <c r="R266" s="7">
        <v>0.91</v>
      </c>
      <c r="S266" s="17">
        <v>0.56000000000000005</v>
      </c>
      <c r="T266" s="18">
        <f t="shared" si="4"/>
        <v>0.4381250000000001</v>
      </c>
    </row>
    <row r="267" spans="2:20" x14ac:dyDescent="0.3">
      <c r="B267" s="7" t="s">
        <v>298</v>
      </c>
      <c r="C267" s="7" t="s">
        <v>345</v>
      </c>
      <c r="D267" s="7">
        <v>0.9</v>
      </c>
      <c r="E267" s="7">
        <v>0.96</v>
      </c>
      <c r="F267" s="7">
        <v>0.77</v>
      </c>
      <c r="G267" s="7">
        <v>0.57999999999999996</v>
      </c>
      <c r="H267" s="7">
        <v>0.8</v>
      </c>
      <c r="I267" s="7">
        <v>0</v>
      </c>
      <c r="J267" s="7">
        <v>0</v>
      </c>
      <c r="K267" s="7">
        <v>0</v>
      </c>
      <c r="L267" s="7">
        <v>0</v>
      </c>
      <c r="M267" s="7">
        <v>0.16</v>
      </c>
      <c r="N267" s="7">
        <v>0.28999999999999998</v>
      </c>
      <c r="O267" s="7">
        <v>0.82</v>
      </c>
      <c r="P267" s="7">
        <v>1</v>
      </c>
      <c r="Q267" s="7">
        <v>0.95</v>
      </c>
      <c r="R267" s="7">
        <v>0.41</v>
      </c>
      <c r="S267" s="17">
        <v>0</v>
      </c>
      <c r="T267" s="18">
        <f t="shared" si="4"/>
        <v>0.47750000000000004</v>
      </c>
    </row>
    <row r="268" spans="2:20" x14ac:dyDescent="0.3">
      <c r="B268" s="7" t="s">
        <v>299</v>
      </c>
      <c r="C268" s="7" t="s">
        <v>345</v>
      </c>
      <c r="D268" s="7">
        <v>0.51</v>
      </c>
      <c r="E268" s="7">
        <v>0</v>
      </c>
      <c r="F268" s="7">
        <v>0.22</v>
      </c>
      <c r="G268" s="7">
        <v>0.64</v>
      </c>
      <c r="H268" s="7">
        <v>0.88</v>
      </c>
      <c r="I268" s="7">
        <v>0.7</v>
      </c>
      <c r="J268" s="7">
        <v>0.54</v>
      </c>
      <c r="K268" s="7">
        <v>0.54</v>
      </c>
      <c r="L268" s="7">
        <v>0.33</v>
      </c>
      <c r="M268" s="7">
        <v>0.78</v>
      </c>
      <c r="N268" s="7">
        <v>0.69</v>
      </c>
      <c r="O268" s="7">
        <v>0.8</v>
      </c>
      <c r="P268" s="7">
        <v>0.71</v>
      </c>
      <c r="Q268" s="7">
        <v>0.81</v>
      </c>
      <c r="R268" s="7">
        <v>0.4</v>
      </c>
      <c r="S268" s="17">
        <v>0</v>
      </c>
      <c r="T268" s="18">
        <f t="shared" si="4"/>
        <v>0.53437500000000004</v>
      </c>
    </row>
    <row r="269" spans="2:20" x14ac:dyDescent="0.3">
      <c r="B269" s="7" t="s">
        <v>104</v>
      </c>
      <c r="C269" s="7" t="s">
        <v>349</v>
      </c>
      <c r="D269" s="7">
        <v>1</v>
      </c>
      <c r="E269" s="7">
        <v>0.7</v>
      </c>
      <c r="F269" s="7">
        <v>0.05</v>
      </c>
      <c r="G269" s="7">
        <v>0.71</v>
      </c>
      <c r="H269" s="7">
        <v>0.79</v>
      </c>
      <c r="I269" s="7">
        <v>0</v>
      </c>
      <c r="J269" s="7">
        <v>0.31</v>
      </c>
      <c r="K269" s="7">
        <v>0.2</v>
      </c>
      <c r="L269" s="7">
        <v>0</v>
      </c>
      <c r="M269" s="7">
        <v>0.57999999999999996</v>
      </c>
      <c r="N269" s="7">
        <v>0.9</v>
      </c>
      <c r="O269" s="7">
        <v>0.53</v>
      </c>
      <c r="P269" s="7">
        <v>0</v>
      </c>
      <c r="Q269" s="7">
        <v>0.25</v>
      </c>
      <c r="R269" s="7">
        <v>0.14000000000000001</v>
      </c>
      <c r="S269" s="17">
        <v>0.53</v>
      </c>
      <c r="T269" s="18">
        <f t="shared" si="4"/>
        <v>0.41812500000000002</v>
      </c>
    </row>
    <row r="270" spans="2:20" x14ac:dyDescent="0.3">
      <c r="B270" s="7" t="s">
        <v>300</v>
      </c>
      <c r="C270" s="7" t="s">
        <v>349</v>
      </c>
      <c r="D270" s="7">
        <v>0.87</v>
      </c>
      <c r="E270" s="7">
        <v>0.28000000000000003</v>
      </c>
      <c r="F270" s="7">
        <v>0.06</v>
      </c>
      <c r="G270" s="7">
        <v>0</v>
      </c>
      <c r="H270" s="7">
        <v>0</v>
      </c>
      <c r="I270" s="7">
        <v>0.1</v>
      </c>
      <c r="J270" s="7">
        <v>0.24</v>
      </c>
      <c r="K270" s="7">
        <v>0.03</v>
      </c>
      <c r="L270" s="7">
        <v>0</v>
      </c>
      <c r="M270" s="7">
        <v>0.16</v>
      </c>
      <c r="N270" s="7">
        <v>0</v>
      </c>
      <c r="O270" s="7">
        <v>0.36</v>
      </c>
      <c r="P270" s="7">
        <v>0.21</v>
      </c>
      <c r="Q270" s="7">
        <v>0.6</v>
      </c>
      <c r="R270" s="7">
        <v>0.8</v>
      </c>
      <c r="S270" s="17">
        <v>0.51</v>
      </c>
      <c r="T270" s="18">
        <f t="shared" si="4"/>
        <v>0.26374999999999998</v>
      </c>
    </row>
    <row r="271" spans="2:20" x14ac:dyDescent="0.3">
      <c r="B271" s="7" t="s">
        <v>301</v>
      </c>
      <c r="C271" s="7" t="s">
        <v>349</v>
      </c>
      <c r="D271" s="7">
        <v>0.16</v>
      </c>
      <c r="E271" s="7">
        <v>0.35</v>
      </c>
      <c r="F271" s="7">
        <v>0.99</v>
      </c>
      <c r="G271" s="7">
        <v>0.66</v>
      </c>
      <c r="H271" s="7">
        <v>0.46</v>
      </c>
      <c r="I271" s="7">
        <v>0.44</v>
      </c>
      <c r="J271" s="7">
        <v>0.98</v>
      </c>
      <c r="K271" s="7">
        <v>0</v>
      </c>
      <c r="L271" s="7">
        <v>0.62</v>
      </c>
      <c r="M271" s="7">
        <v>0.51</v>
      </c>
      <c r="N271" s="7">
        <v>0.11</v>
      </c>
      <c r="O271" s="7">
        <v>0</v>
      </c>
      <c r="P271" s="7">
        <v>0.68</v>
      </c>
      <c r="Q271" s="7">
        <v>0.84</v>
      </c>
      <c r="R271" s="7">
        <v>0</v>
      </c>
      <c r="S271" s="17">
        <v>0.36</v>
      </c>
      <c r="T271" s="18">
        <f t="shared" si="4"/>
        <v>0.44750000000000001</v>
      </c>
    </row>
    <row r="272" spans="2:20" x14ac:dyDescent="0.3">
      <c r="B272" s="7" t="s">
        <v>302</v>
      </c>
      <c r="C272" s="7" t="s">
        <v>346</v>
      </c>
      <c r="D272" s="7">
        <v>0.08</v>
      </c>
      <c r="E272" s="7">
        <v>0.73</v>
      </c>
      <c r="F272" s="7">
        <v>0</v>
      </c>
      <c r="G272" s="7">
        <v>0.78</v>
      </c>
      <c r="H272" s="7">
        <v>0.23</v>
      </c>
      <c r="I272" s="7">
        <v>0.24</v>
      </c>
      <c r="J272" s="7">
        <v>0.46</v>
      </c>
      <c r="K272" s="7">
        <v>0.11</v>
      </c>
      <c r="L272" s="7">
        <v>0.7</v>
      </c>
      <c r="M272" s="7">
        <v>0.83</v>
      </c>
      <c r="N272" s="7">
        <v>0</v>
      </c>
      <c r="O272" s="7">
        <v>0.01</v>
      </c>
      <c r="P272" s="7">
        <v>0.14000000000000001</v>
      </c>
      <c r="Q272" s="7">
        <v>0.1</v>
      </c>
      <c r="R272" s="7">
        <v>0</v>
      </c>
      <c r="S272" s="17">
        <v>0</v>
      </c>
      <c r="T272" s="18">
        <f t="shared" si="4"/>
        <v>0.2756249999999999</v>
      </c>
    </row>
    <row r="273" spans="2:20" x14ac:dyDescent="0.3">
      <c r="B273" s="7" t="s">
        <v>303</v>
      </c>
      <c r="C273" s="7" t="s">
        <v>345</v>
      </c>
      <c r="D273" s="7">
        <v>0.04</v>
      </c>
      <c r="E273" s="7">
        <v>0.33</v>
      </c>
      <c r="F273" s="7">
        <v>0</v>
      </c>
      <c r="G273" s="7">
        <v>0</v>
      </c>
      <c r="H273" s="7">
        <v>0.85</v>
      </c>
      <c r="I273" s="7">
        <v>0.16</v>
      </c>
      <c r="J273" s="7">
        <v>0.6</v>
      </c>
      <c r="K273" s="7">
        <v>0.59</v>
      </c>
      <c r="L273" s="7">
        <v>0</v>
      </c>
      <c r="M273" s="7">
        <v>0.94</v>
      </c>
      <c r="N273" s="7">
        <v>0.73</v>
      </c>
      <c r="O273" s="7">
        <v>0</v>
      </c>
      <c r="P273" s="7">
        <v>0</v>
      </c>
      <c r="Q273" s="7">
        <v>0.92</v>
      </c>
      <c r="R273" s="7">
        <v>0.49</v>
      </c>
      <c r="S273" s="17">
        <v>0</v>
      </c>
      <c r="T273" s="18">
        <f t="shared" si="4"/>
        <v>0.35312500000000002</v>
      </c>
    </row>
    <row r="274" spans="2:20" x14ac:dyDescent="0.3">
      <c r="B274" s="7" t="s">
        <v>304</v>
      </c>
      <c r="C274" s="7" t="s">
        <v>348</v>
      </c>
      <c r="D274" s="7">
        <v>0.08</v>
      </c>
      <c r="E274" s="7">
        <v>0</v>
      </c>
      <c r="F274" s="7">
        <v>0.61</v>
      </c>
      <c r="G274" s="7">
        <v>0.17</v>
      </c>
      <c r="H274" s="7">
        <v>0.95</v>
      </c>
      <c r="I274" s="7">
        <v>0.08</v>
      </c>
      <c r="J274" s="7">
        <v>0.46</v>
      </c>
      <c r="K274" s="7">
        <v>0.44</v>
      </c>
      <c r="L274" s="7">
        <v>0</v>
      </c>
      <c r="M274" s="7">
        <v>0.51</v>
      </c>
      <c r="N274" s="7">
        <v>0</v>
      </c>
      <c r="O274" s="7">
        <v>0.17</v>
      </c>
      <c r="P274" s="7">
        <v>0.4</v>
      </c>
      <c r="Q274" s="7">
        <v>0.1</v>
      </c>
      <c r="R274" s="7">
        <v>0.13</v>
      </c>
      <c r="S274" s="17">
        <v>0.99</v>
      </c>
      <c r="T274" s="18">
        <f t="shared" si="4"/>
        <v>0.31812499999999999</v>
      </c>
    </row>
    <row r="275" spans="2:20" x14ac:dyDescent="0.3">
      <c r="B275" s="7" t="s">
        <v>305</v>
      </c>
      <c r="C275" s="7" t="s">
        <v>348</v>
      </c>
      <c r="D275" s="7">
        <v>0.4</v>
      </c>
      <c r="E275" s="7">
        <v>0.33</v>
      </c>
      <c r="F275" s="7">
        <v>0.91</v>
      </c>
      <c r="G275" s="7">
        <v>0</v>
      </c>
      <c r="H275" s="7">
        <v>0.27</v>
      </c>
      <c r="I275" s="7">
        <v>0.51</v>
      </c>
      <c r="J275" s="7">
        <v>0.35</v>
      </c>
      <c r="K275" s="7">
        <v>0</v>
      </c>
      <c r="L275" s="7">
        <v>0.81</v>
      </c>
      <c r="M275" s="7">
        <v>0.41</v>
      </c>
      <c r="N275" s="7">
        <v>0</v>
      </c>
      <c r="O275" s="7">
        <v>0.91</v>
      </c>
      <c r="P275" s="7">
        <v>0.97</v>
      </c>
      <c r="Q275" s="7">
        <v>0.44</v>
      </c>
      <c r="R275" s="7">
        <v>0.52</v>
      </c>
      <c r="S275" s="17">
        <v>0.49</v>
      </c>
      <c r="T275" s="18">
        <f t="shared" si="4"/>
        <v>0.45750000000000002</v>
      </c>
    </row>
    <row r="276" spans="2:20" x14ac:dyDescent="0.3">
      <c r="B276" s="7" t="s">
        <v>306</v>
      </c>
      <c r="C276" s="7" t="s">
        <v>345</v>
      </c>
      <c r="D276" s="7">
        <v>0.56999999999999995</v>
      </c>
      <c r="E276" s="7">
        <v>0.87</v>
      </c>
      <c r="F276" s="7">
        <v>0.13</v>
      </c>
      <c r="G276" s="7">
        <v>0.88</v>
      </c>
      <c r="H276" s="7">
        <v>0</v>
      </c>
      <c r="I276" s="7">
        <v>0.4</v>
      </c>
      <c r="J276" s="7">
        <v>0.01</v>
      </c>
      <c r="K276" s="7">
        <v>0.54</v>
      </c>
      <c r="L276" s="7">
        <v>0</v>
      </c>
      <c r="M276" s="7">
        <v>0.15</v>
      </c>
      <c r="N276" s="7">
        <v>0.4</v>
      </c>
      <c r="O276" s="7">
        <v>0.51</v>
      </c>
      <c r="P276" s="7">
        <v>0.5</v>
      </c>
      <c r="Q276" s="7">
        <v>1</v>
      </c>
      <c r="R276" s="7">
        <v>0.36</v>
      </c>
      <c r="S276" s="17">
        <v>0.3</v>
      </c>
      <c r="T276" s="18">
        <f t="shared" si="4"/>
        <v>0.41374999999999995</v>
      </c>
    </row>
    <row r="277" spans="2:20" x14ac:dyDescent="0.3">
      <c r="B277" s="7" t="s">
        <v>307</v>
      </c>
      <c r="C277" s="7" t="s">
        <v>346</v>
      </c>
      <c r="D277" s="7">
        <v>0.24</v>
      </c>
      <c r="E277" s="7">
        <v>0.89</v>
      </c>
      <c r="F277" s="7">
        <v>0.88</v>
      </c>
      <c r="G277" s="7">
        <v>0</v>
      </c>
      <c r="H277" s="7">
        <v>0</v>
      </c>
      <c r="I277" s="7">
        <v>0.39</v>
      </c>
      <c r="J277" s="7">
        <v>0.84</v>
      </c>
      <c r="K277" s="7">
        <v>0.18</v>
      </c>
      <c r="L277" s="7">
        <v>0</v>
      </c>
      <c r="M277" s="7">
        <v>0</v>
      </c>
      <c r="N277" s="7">
        <v>0</v>
      </c>
      <c r="O277" s="7">
        <v>0.37</v>
      </c>
      <c r="P277" s="7">
        <v>0.43</v>
      </c>
      <c r="Q277" s="7">
        <v>0.86</v>
      </c>
      <c r="R277" s="7">
        <v>0.56999999999999995</v>
      </c>
      <c r="S277" s="17">
        <v>0.28000000000000003</v>
      </c>
      <c r="T277" s="18">
        <f t="shared" si="4"/>
        <v>0.37062500000000004</v>
      </c>
    </row>
    <row r="278" spans="2:20" x14ac:dyDescent="0.3">
      <c r="B278" s="7" t="s">
        <v>308</v>
      </c>
      <c r="C278" s="7" t="s">
        <v>345</v>
      </c>
      <c r="D278" s="7">
        <v>0.34</v>
      </c>
      <c r="E278" s="7">
        <v>0.26</v>
      </c>
      <c r="F278" s="7">
        <v>0.43</v>
      </c>
      <c r="G278" s="7">
        <v>0.39</v>
      </c>
      <c r="H278" s="7">
        <v>0</v>
      </c>
      <c r="I278" s="7">
        <v>0.51</v>
      </c>
      <c r="J278" s="7">
        <v>0.74</v>
      </c>
      <c r="K278" s="7">
        <v>0.61</v>
      </c>
      <c r="L278" s="7">
        <v>0.28999999999999998</v>
      </c>
      <c r="M278" s="7">
        <v>0.13</v>
      </c>
      <c r="N278" s="7">
        <v>0.64</v>
      </c>
      <c r="O278" s="7">
        <v>0.43</v>
      </c>
      <c r="P278" s="7">
        <v>0.95</v>
      </c>
      <c r="Q278" s="7">
        <v>0.28999999999999998</v>
      </c>
      <c r="R278" s="7">
        <v>0</v>
      </c>
      <c r="S278" s="17">
        <v>0</v>
      </c>
      <c r="T278" s="18">
        <f t="shared" si="4"/>
        <v>0.37562499999999999</v>
      </c>
    </row>
    <row r="279" spans="2:20" x14ac:dyDescent="0.3">
      <c r="B279" s="7" t="s">
        <v>309</v>
      </c>
      <c r="C279" s="7" t="s">
        <v>347</v>
      </c>
      <c r="D279" s="7">
        <v>0.76</v>
      </c>
      <c r="E279" s="7">
        <v>0.96</v>
      </c>
      <c r="F279" s="7">
        <v>0.85</v>
      </c>
      <c r="G279" s="7">
        <v>0.11</v>
      </c>
      <c r="H279" s="7">
        <v>0.51</v>
      </c>
      <c r="I279" s="7">
        <v>0.59</v>
      </c>
      <c r="J279" s="7">
        <v>0.85</v>
      </c>
      <c r="K279" s="7">
        <v>0</v>
      </c>
      <c r="L279" s="7">
        <v>0.48</v>
      </c>
      <c r="M279" s="7">
        <v>0.05</v>
      </c>
      <c r="N279" s="7">
        <v>0.83</v>
      </c>
      <c r="O279" s="7">
        <v>0</v>
      </c>
      <c r="P279" s="7">
        <v>0</v>
      </c>
      <c r="Q279" s="7">
        <v>0.64</v>
      </c>
      <c r="R279" s="7">
        <v>0</v>
      </c>
      <c r="S279" s="17">
        <v>0.45</v>
      </c>
      <c r="T279" s="18">
        <f t="shared" si="4"/>
        <v>0.44249999999999995</v>
      </c>
    </row>
    <row r="280" spans="2:20" x14ac:dyDescent="0.3">
      <c r="B280" s="7" t="s">
        <v>310</v>
      </c>
      <c r="C280" s="7" t="s">
        <v>347</v>
      </c>
      <c r="D280" s="7">
        <v>0</v>
      </c>
      <c r="E280" s="7">
        <v>0.81</v>
      </c>
      <c r="F280" s="7">
        <v>0.82</v>
      </c>
      <c r="G280" s="7">
        <v>0.56999999999999995</v>
      </c>
      <c r="H280" s="7">
        <v>0.2</v>
      </c>
      <c r="I280" s="7">
        <v>0.75</v>
      </c>
      <c r="J280" s="7">
        <v>0</v>
      </c>
      <c r="K280" s="7">
        <v>0.74</v>
      </c>
      <c r="L280" s="7">
        <v>0</v>
      </c>
      <c r="M280" s="7">
        <v>0.97</v>
      </c>
      <c r="N280" s="7">
        <v>0.69</v>
      </c>
      <c r="O280" s="7">
        <v>0.28999999999999998</v>
      </c>
      <c r="P280" s="7">
        <v>0.05</v>
      </c>
      <c r="Q280" s="7">
        <v>0.93</v>
      </c>
      <c r="R280" s="7">
        <v>0</v>
      </c>
      <c r="S280" s="17">
        <v>0.26</v>
      </c>
      <c r="T280" s="18">
        <f t="shared" si="4"/>
        <v>0.44249999999999989</v>
      </c>
    </row>
    <row r="281" spans="2:20" x14ac:dyDescent="0.3">
      <c r="B281" s="7" t="s">
        <v>311</v>
      </c>
      <c r="C281" s="7" t="s">
        <v>345</v>
      </c>
      <c r="D281" s="7">
        <v>0.42</v>
      </c>
      <c r="E281" s="7">
        <v>0.24</v>
      </c>
      <c r="F281" s="7">
        <v>0.26</v>
      </c>
      <c r="G281" s="7">
        <v>0.23</v>
      </c>
      <c r="H281" s="7">
        <v>0.78</v>
      </c>
      <c r="I281" s="7">
        <v>0.95</v>
      </c>
      <c r="J281" s="7">
        <v>0.3</v>
      </c>
      <c r="K281" s="7">
        <v>0.3</v>
      </c>
      <c r="L281" s="7">
        <v>0.23</v>
      </c>
      <c r="M281" s="7">
        <v>0.04</v>
      </c>
      <c r="N281" s="7">
        <v>0.76</v>
      </c>
      <c r="O281" s="7">
        <v>0.83</v>
      </c>
      <c r="P281" s="7">
        <v>0.4</v>
      </c>
      <c r="Q281" s="7">
        <v>0</v>
      </c>
      <c r="R281" s="7">
        <v>0.1</v>
      </c>
      <c r="S281" s="17">
        <v>0</v>
      </c>
      <c r="T281" s="18">
        <f t="shared" si="4"/>
        <v>0.36499999999999999</v>
      </c>
    </row>
    <row r="282" spans="2:20" x14ac:dyDescent="0.3">
      <c r="B282" s="7" t="s">
        <v>312</v>
      </c>
      <c r="C282" s="7" t="s">
        <v>347</v>
      </c>
      <c r="D282" s="7">
        <v>0.66</v>
      </c>
      <c r="E282" s="7">
        <v>0</v>
      </c>
      <c r="F282" s="7">
        <v>0.06</v>
      </c>
      <c r="G282" s="7">
        <v>0.96</v>
      </c>
      <c r="H282" s="7">
        <v>0.56000000000000005</v>
      </c>
      <c r="I282" s="7">
        <v>0.76</v>
      </c>
      <c r="J282" s="7">
        <v>0.06</v>
      </c>
      <c r="K282" s="7">
        <v>0</v>
      </c>
      <c r="L282" s="7">
        <v>0.44</v>
      </c>
      <c r="M282" s="7">
        <v>0.38</v>
      </c>
      <c r="N282" s="7">
        <v>0.94</v>
      </c>
      <c r="O282" s="7">
        <v>0.76</v>
      </c>
      <c r="P282" s="7">
        <v>0</v>
      </c>
      <c r="Q282" s="7">
        <v>0.12</v>
      </c>
      <c r="R282" s="7">
        <v>0.25</v>
      </c>
      <c r="S282" s="17">
        <v>0.67</v>
      </c>
      <c r="T282" s="18">
        <f t="shared" si="4"/>
        <v>0.41375000000000001</v>
      </c>
    </row>
    <row r="283" spans="2:20" x14ac:dyDescent="0.3">
      <c r="B283" s="7" t="s">
        <v>313</v>
      </c>
      <c r="C283" s="7" t="s">
        <v>346</v>
      </c>
      <c r="D283" s="7">
        <v>0.08</v>
      </c>
      <c r="E283" s="7">
        <v>0.96</v>
      </c>
      <c r="F283" s="7">
        <v>0.03</v>
      </c>
      <c r="G283" s="7">
        <v>0</v>
      </c>
      <c r="H283" s="7">
        <v>0.13</v>
      </c>
      <c r="I283" s="7">
        <v>0.55000000000000004</v>
      </c>
      <c r="J283" s="7">
        <v>0.84</v>
      </c>
      <c r="K283" s="7">
        <v>0.34</v>
      </c>
      <c r="L283" s="7">
        <v>0.53</v>
      </c>
      <c r="M283" s="7">
        <v>0.88</v>
      </c>
      <c r="N283" s="7">
        <v>0.25</v>
      </c>
      <c r="O283" s="7">
        <v>0</v>
      </c>
      <c r="P283" s="7">
        <v>0</v>
      </c>
      <c r="Q283" s="7">
        <v>0.56000000000000005</v>
      </c>
      <c r="R283" s="7">
        <v>0.31</v>
      </c>
      <c r="S283" s="17">
        <v>0.59</v>
      </c>
      <c r="T283" s="18">
        <f t="shared" si="4"/>
        <v>0.37812499999999999</v>
      </c>
    </row>
    <row r="284" spans="2:20" x14ac:dyDescent="0.3">
      <c r="B284" s="7" t="s">
        <v>314</v>
      </c>
      <c r="C284" s="7" t="s">
        <v>347</v>
      </c>
      <c r="D284" s="7">
        <v>0.98</v>
      </c>
      <c r="E284" s="7">
        <v>0.97</v>
      </c>
      <c r="F284" s="7">
        <v>0</v>
      </c>
      <c r="G284" s="7">
        <v>0.12</v>
      </c>
      <c r="H284" s="7">
        <v>0.4</v>
      </c>
      <c r="I284" s="7">
        <v>0</v>
      </c>
      <c r="J284" s="7">
        <v>0.9</v>
      </c>
      <c r="K284" s="7">
        <v>0.02</v>
      </c>
      <c r="L284" s="7">
        <v>0.13</v>
      </c>
      <c r="M284" s="7">
        <v>0.43</v>
      </c>
      <c r="N284" s="7">
        <v>0.64</v>
      </c>
      <c r="O284" s="7">
        <v>0.71</v>
      </c>
      <c r="P284" s="7">
        <v>0.77</v>
      </c>
      <c r="Q284" s="7">
        <v>0</v>
      </c>
      <c r="R284" s="7">
        <v>0.22</v>
      </c>
      <c r="S284" s="17">
        <v>0.48</v>
      </c>
      <c r="T284" s="18">
        <f t="shared" si="4"/>
        <v>0.42312499999999997</v>
      </c>
    </row>
    <row r="285" spans="2:20" x14ac:dyDescent="0.3">
      <c r="B285" s="7" t="s">
        <v>315</v>
      </c>
      <c r="C285" s="7" t="s">
        <v>346</v>
      </c>
      <c r="D285" s="7">
        <v>0.38</v>
      </c>
      <c r="E285" s="7">
        <v>0.28000000000000003</v>
      </c>
      <c r="F285" s="7">
        <v>0.5</v>
      </c>
      <c r="G285" s="7">
        <v>0.64</v>
      </c>
      <c r="H285" s="7">
        <v>0.03</v>
      </c>
      <c r="I285" s="7">
        <v>0.97</v>
      </c>
      <c r="J285" s="7">
        <v>0</v>
      </c>
      <c r="K285" s="7">
        <v>0.18</v>
      </c>
      <c r="L285" s="7">
        <v>0.94</v>
      </c>
      <c r="M285" s="7">
        <v>0</v>
      </c>
      <c r="N285" s="7">
        <v>0</v>
      </c>
      <c r="O285" s="7">
        <v>0.46</v>
      </c>
      <c r="P285" s="7">
        <v>0.12</v>
      </c>
      <c r="Q285" s="7">
        <v>0.27</v>
      </c>
      <c r="R285" s="7">
        <v>0.12</v>
      </c>
      <c r="S285" s="17">
        <v>0</v>
      </c>
      <c r="T285" s="18">
        <f t="shared" si="4"/>
        <v>0.30562500000000009</v>
      </c>
    </row>
    <row r="286" spans="2:20" x14ac:dyDescent="0.3">
      <c r="B286" s="7" t="s">
        <v>316</v>
      </c>
      <c r="C286" s="7" t="s">
        <v>348</v>
      </c>
      <c r="D286" s="7">
        <v>0</v>
      </c>
      <c r="E286" s="7">
        <v>0.78</v>
      </c>
      <c r="F286" s="7">
        <v>0.56000000000000005</v>
      </c>
      <c r="G286" s="7">
        <v>0</v>
      </c>
      <c r="H286" s="7">
        <v>0.39</v>
      </c>
      <c r="I286" s="7">
        <v>0.66</v>
      </c>
      <c r="J286" s="7">
        <v>0.36</v>
      </c>
      <c r="K286" s="7">
        <v>0.74</v>
      </c>
      <c r="L286" s="7">
        <v>0.15</v>
      </c>
      <c r="M286" s="7">
        <v>0.01</v>
      </c>
      <c r="N286" s="7">
        <v>0.31</v>
      </c>
      <c r="O286" s="7">
        <v>0.01</v>
      </c>
      <c r="P286" s="7">
        <v>0.92</v>
      </c>
      <c r="Q286" s="7">
        <v>0.98</v>
      </c>
      <c r="R286" s="7">
        <v>0.23</v>
      </c>
      <c r="S286" s="17">
        <v>0.91</v>
      </c>
      <c r="T286" s="18">
        <f t="shared" si="4"/>
        <v>0.43812499999999999</v>
      </c>
    </row>
    <row r="287" spans="2:20" x14ac:dyDescent="0.3">
      <c r="B287" s="7" t="s">
        <v>317</v>
      </c>
      <c r="C287" s="7" t="s">
        <v>348</v>
      </c>
      <c r="D287" s="7">
        <v>0.91</v>
      </c>
      <c r="E287" s="7">
        <v>0</v>
      </c>
      <c r="F287" s="7">
        <v>0.75</v>
      </c>
      <c r="G287" s="7">
        <v>0</v>
      </c>
      <c r="H287" s="7">
        <v>0.93</v>
      </c>
      <c r="I287" s="7">
        <v>0</v>
      </c>
      <c r="J287" s="7">
        <v>0.03</v>
      </c>
      <c r="K287" s="7">
        <v>0.01</v>
      </c>
      <c r="L287" s="7">
        <v>0.23</v>
      </c>
      <c r="M287" s="7">
        <v>0.82</v>
      </c>
      <c r="N287" s="7">
        <v>0.24</v>
      </c>
      <c r="O287" s="7">
        <v>0.16</v>
      </c>
      <c r="P287" s="7">
        <v>0.27</v>
      </c>
      <c r="Q287" s="7">
        <v>0.95</v>
      </c>
      <c r="R287" s="7">
        <v>0.14000000000000001</v>
      </c>
      <c r="S287" s="17">
        <v>0</v>
      </c>
      <c r="T287" s="18">
        <f t="shared" si="4"/>
        <v>0.33999999999999997</v>
      </c>
    </row>
    <row r="288" spans="2:20" x14ac:dyDescent="0.3">
      <c r="B288" s="7" t="s">
        <v>318</v>
      </c>
      <c r="C288" s="7" t="s">
        <v>348</v>
      </c>
      <c r="D288" s="7">
        <v>0</v>
      </c>
      <c r="E288" s="7">
        <v>0.87</v>
      </c>
      <c r="F288" s="7">
        <v>0.49</v>
      </c>
      <c r="G288" s="7">
        <v>0.73</v>
      </c>
      <c r="H288" s="7">
        <v>0.55000000000000004</v>
      </c>
      <c r="I288" s="7">
        <v>0</v>
      </c>
      <c r="J288" s="7">
        <v>0.25</v>
      </c>
      <c r="K288" s="7">
        <v>0.86</v>
      </c>
      <c r="L288" s="7">
        <v>0.79</v>
      </c>
      <c r="M288" s="7">
        <v>0.23</v>
      </c>
      <c r="N288" s="7">
        <v>0.82</v>
      </c>
      <c r="O288" s="7">
        <v>0</v>
      </c>
      <c r="P288" s="7">
        <v>0.88</v>
      </c>
      <c r="Q288" s="7">
        <v>0.16</v>
      </c>
      <c r="R288" s="7">
        <v>0.74</v>
      </c>
      <c r="S288" s="17">
        <v>0.63</v>
      </c>
      <c r="T288" s="18">
        <f t="shared" si="4"/>
        <v>0.5</v>
      </c>
    </row>
    <row r="289" spans="2:20" x14ac:dyDescent="0.3">
      <c r="B289" s="7" t="s">
        <v>319</v>
      </c>
      <c r="C289" s="7" t="s">
        <v>345</v>
      </c>
      <c r="D289" s="7">
        <v>0.2</v>
      </c>
      <c r="E289" s="7">
        <v>0.61</v>
      </c>
      <c r="F289" s="7">
        <v>0.35</v>
      </c>
      <c r="G289" s="7">
        <v>0.63</v>
      </c>
      <c r="H289" s="7">
        <v>0.49</v>
      </c>
      <c r="I289" s="7">
        <v>0.25</v>
      </c>
      <c r="J289" s="7">
        <v>0.17</v>
      </c>
      <c r="K289" s="7">
        <v>0.4</v>
      </c>
      <c r="L289" s="7">
        <v>0</v>
      </c>
      <c r="M289" s="7">
        <v>0.6</v>
      </c>
      <c r="N289" s="7">
        <v>0.64</v>
      </c>
      <c r="O289" s="7">
        <v>0.74</v>
      </c>
      <c r="P289" s="7">
        <v>0.5</v>
      </c>
      <c r="Q289" s="7">
        <v>0.44</v>
      </c>
      <c r="R289" s="7">
        <v>0.53</v>
      </c>
      <c r="S289" s="17">
        <v>0.9</v>
      </c>
      <c r="T289" s="18">
        <f t="shared" si="4"/>
        <v>0.46562500000000007</v>
      </c>
    </row>
    <row r="290" spans="2:20" x14ac:dyDescent="0.3">
      <c r="B290" s="7" t="s">
        <v>320</v>
      </c>
      <c r="C290" s="7" t="s">
        <v>346</v>
      </c>
      <c r="D290" s="7">
        <v>0.79</v>
      </c>
      <c r="E290" s="7">
        <v>0.7</v>
      </c>
      <c r="F290" s="7">
        <v>0.18</v>
      </c>
      <c r="G290" s="7">
        <v>0.56000000000000005</v>
      </c>
      <c r="H290" s="7">
        <v>0.45</v>
      </c>
      <c r="I290" s="7">
        <v>0.31</v>
      </c>
      <c r="J290" s="7">
        <v>0</v>
      </c>
      <c r="K290" s="7">
        <v>0.06</v>
      </c>
      <c r="L290" s="7">
        <v>0.28000000000000003</v>
      </c>
      <c r="M290" s="7">
        <v>0.9</v>
      </c>
      <c r="N290" s="7">
        <v>0.09</v>
      </c>
      <c r="O290" s="7">
        <v>0.82</v>
      </c>
      <c r="P290" s="7">
        <v>0.44</v>
      </c>
      <c r="Q290" s="7">
        <v>0.94</v>
      </c>
      <c r="R290" s="7">
        <v>0.4</v>
      </c>
      <c r="S290" s="17">
        <v>0.13</v>
      </c>
      <c r="T290" s="18">
        <f t="shared" si="4"/>
        <v>0.4406250000000001</v>
      </c>
    </row>
    <row r="291" spans="2:20" x14ac:dyDescent="0.3">
      <c r="B291" s="7" t="s">
        <v>321</v>
      </c>
      <c r="C291" s="7" t="s">
        <v>344</v>
      </c>
      <c r="D291" s="7">
        <v>0.46</v>
      </c>
      <c r="E291" s="7">
        <v>0</v>
      </c>
      <c r="F291" s="7">
        <v>0.03</v>
      </c>
      <c r="G291" s="7">
        <v>0</v>
      </c>
      <c r="H291" s="7">
        <v>0.2</v>
      </c>
      <c r="I291" s="7">
        <v>0.04</v>
      </c>
      <c r="J291" s="7">
        <v>0.37</v>
      </c>
      <c r="K291" s="7">
        <v>1</v>
      </c>
      <c r="L291" s="7">
        <v>0.53</v>
      </c>
      <c r="M291" s="7">
        <v>0</v>
      </c>
      <c r="N291" s="7">
        <v>0.69</v>
      </c>
      <c r="O291" s="7">
        <v>0</v>
      </c>
      <c r="P291" s="7">
        <v>0.68</v>
      </c>
      <c r="Q291" s="7">
        <v>0.4</v>
      </c>
      <c r="R291" s="7">
        <v>0.79</v>
      </c>
      <c r="S291" s="17">
        <v>0.52</v>
      </c>
      <c r="T291" s="18">
        <f t="shared" si="4"/>
        <v>0.35687500000000005</v>
      </c>
    </row>
    <row r="292" spans="2:20" x14ac:dyDescent="0.3">
      <c r="B292" s="7" t="s">
        <v>322</v>
      </c>
      <c r="C292" s="7" t="s">
        <v>347</v>
      </c>
      <c r="D292" s="7">
        <v>0.73</v>
      </c>
      <c r="E292" s="7">
        <v>0.9</v>
      </c>
      <c r="F292" s="7">
        <v>0.06</v>
      </c>
      <c r="G292" s="7">
        <v>0.57999999999999996</v>
      </c>
      <c r="H292" s="7">
        <v>0.5</v>
      </c>
      <c r="I292" s="7">
        <v>0.48</v>
      </c>
      <c r="J292" s="7">
        <v>0.91</v>
      </c>
      <c r="K292" s="7">
        <v>0.26</v>
      </c>
      <c r="L292" s="7">
        <v>0</v>
      </c>
      <c r="M292" s="7">
        <v>0</v>
      </c>
      <c r="N292" s="7">
        <v>0</v>
      </c>
      <c r="O292" s="7">
        <v>0</v>
      </c>
      <c r="P292" s="7">
        <v>0.4</v>
      </c>
      <c r="Q292" s="7">
        <v>1</v>
      </c>
      <c r="R292" s="7">
        <v>0</v>
      </c>
      <c r="S292" s="17">
        <v>0.23</v>
      </c>
      <c r="T292" s="18">
        <f t="shared" si="4"/>
        <v>0.37812500000000004</v>
      </c>
    </row>
    <row r="293" spans="2:20" x14ac:dyDescent="0.3">
      <c r="B293" s="7" t="s">
        <v>323</v>
      </c>
      <c r="C293" s="7" t="s">
        <v>348</v>
      </c>
      <c r="D293" s="7">
        <v>0.68</v>
      </c>
      <c r="E293" s="7">
        <v>0.04</v>
      </c>
      <c r="F293" s="7">
        <v>0.19</v>
      </c>
      <c r="G293" s="7">
        <v>0</v>
      </c>
      <c r="H293" s="7">
        <v>0.28000000000000003</v>
      </c>
      <c r="I293" s="7">
        <v>0.25</v>
      </c>
      <c r="J293" s="7">
        <v>0.26</v>
      </c>
      <c r="K293" s="7">
        <v>0.33</v>
      </c>
      <c r="L293" s="7">
        <v>0.49</v>
      </c>
      <c r="M293" s="7">
        <v>0.17</v>
      </c>
      <c r="N293" s="7">
        <v>0.03</v>
      </c>
      <c r="O293" s="7">
        <v>0.39</v>
      </c>
      <c r="P293" s="7">
        <v>0.96</v>
      </c>
      <c r="Q293" s="7">
        <v>0</v>
      </c>
      <c r="R293" s="7">
        <v>0.66</v>
      </c>
      <c r="S293" s="17">
        <v>0.09</v>
      </c>
      <c r="T293" s="18">
        <f t="shared" si="4"/>
        <v>0.30125000000000002</v>
      </c>
    </row>
    <row r="294" spans="2:20" x14ac:dyDescent="0.3">
      <c r="B294" s="7" t="s">
        <v>324</v>
      </c>
      <c r="C294" s="7" t="s">
        <v>344</v>
      </c>
      <c r="D294" s="7">
        <v>7.0000000000000007E-2</v>
      </c>
      <c r="E294" s="7">
        <v>0.27</v>
      </c>
      <c r="F294" s="7">
        <v>0.17</v>
      </c>
      <c r="G294" s="7">
        <v>0</v>
      </c>
      <c r="H294" s="7">
        <v>0.54</v>
      </c>
      <c r="I294" s="7">
        <v>0.76</v>
      </c>
      <c r="J294" s="7">
        <v>7.0000000000000007E-2</v>
      </c>
      <c r="K294" s="7">
        <v>0.16</v>
      </c>
      <c r="L294" s="7">
        <v>0.59</v>
      </c>
      <c r="M294" s="7">
        <v>0.9</v>
      </c>
      <c r="N294" s="7">
        <v>0.45</v>
      </c>
      <c r="O294" s="7">
        <v>0.55000000000000004</v>
      </c>
      <c r="P294" s="7">
        <v>0.16</v>
      </c>
      <c r="Q294" s="7">
        <v>0</v>
      </c>
      <c r="R294" s="7">
        <v>0.23</v>
      </c>
      <c r="S294" s="17">
        <v>0.22</v>
      </c>
      <c r="T294" s="18">
        <f t="shared" si="4"/>
        <v>0.32125000000000004</v>
      </c>
    </row>
    <row r="295" spans="2:20" x14ac:dyDescent="0.3">
      <c r="B295" s="7" t="s">
        <v>325</v>
      </c>
      <c r="C295" s="7" t="s">
        <v>345</v>
      </c>
      <c r="D295" s="7">
        <v>0</v>
      </c>
      <c r="E295" s="7">
        <v>0.51</v>
      </c>
      <c r="F295" s="7">
        <v>0.42</v>
      </c>
      <c r="G295" s="7">
        <v>7.0000000000000007E-2</v>
      </c>
      <c r="H295" s="7">
        <v>0.9</v>
      </c>
      <c r="I295" s="7">
        <v>0.94</v>
      </c>
      <c r="J295" s="7">
        <v>0.88</v>
      </c>
      <c r="K295" s="7">
        <v>0.62</v>
      </c>
      <c r="L295" s="7">
        <v>0</v>
      </c>
      <c r="M295" s="7">
        <v>0.12</v>
      </c>
      <c r="N295" s="7">
        <v>0.9</v>
      </c>
      <c r="O295" s="7">
        <v>0.78</v>
      </c>
      <c r="P295" s="7">
        <v>7.0000000000000007E-2</v>
      </c>
      <c r="Q295" s="7">
        <v>0.94</v>
      </c>
      <c r="R295" s="7">
        <v>0.06</v>
      </c>
      <c r="S295" s="17">
        <v>0.18</v>
      </c>
      <c r="T295" s="18">
        <f t="shared" si="4"/>
        <v>0.46187499999999998</v>
      </c>
    </row>
    <row r="296" spans="2:20" x14ac:dyDescent="0.3">
      <c r="B296" s="7" t="s">
        <v>326</v>
      </c>
      <c r="C296" s="7" t="s">
        <v>348</v>
      </c>
      <c r="D296" s="7">
        <v>0</v>
      </c>
      <c r="E296" s="7">
        <v>0</v>
      </c>
      <c r="F296" s="7">
        <v>0.56000000000000005</v>
      </c>
      <c r="G296" s="7">
        <v>0.88</v>
      </c>
      <c r="H296" s="7">
        <v>0.66</v>
      </c>
      <c r="I296" s="7">
        <v>0</v>
      </c>
      <c r="J296" s="7">
        <v>0.51</v>
      </c>
      <c r="K296" s="7">
        <v>0.06</v>
      </c>
      <c r="L296" s="7">
        <v>0.4</v>
      </c>
      <c r="M296" s="7">
        <v>0.44</v>
      </c>
      <c r="N296" s="7">
        <v>0</v>
      </c>
      <c r="O296" s="7">
        <v>0.6</v>
      </c>
      <c r="P296" s="7">
        <v>0.79</v>
      </c>
      <c r="Q296" s="7">
        <v>0.9</v>
      </c>
      <c r="R296" s="7">
        <v>0</v>
      </c>
      <c r="S296" s="17">
        <v>0.99</v>
      </c>
      <c r="T296" s="18">
        <f t="shared" si="4"/>
        <v>0.42437500000000006</v>
      </c>
    </row>
    <row r="297" spans="2:20" x14ac:dyDescent="0.3">
      <c r="B297" s="7" t="s">
        <v>327</v>
      </c>
      <c r="C297" s="7" t="s">
        <v>344</v>
      </c>
      <c r="D297" s="7">
        <v>0</v>
      </c>
      <c r="E297" s="7">
        <v>0.28000000000000003</v>
      </c>
      <c r="F297" s="7">
        <v>0</v>
      </c>
      <c r="G297" s="7">
        <v>1</v>
      </c>
      <c r="H297" s="7">
        <v>0</v>
      </c>
      <c r="I297" s="7">
        <v>0.96</v>
      </c>
      <c r="J297" s="7">
        <v>0.33</v>
      </c>
      <c r="K297" s="7">
        <v>0</v>
      </c>
      <c r="L297" s="7">
        <v>0.38</v>
      </c>
      <c r="M297" s="7">
        <v>0</v>
      </c>
      <c r="N297" s="7">
        <v>0.8</v>
      </c>
      <c r="O297" s="7">
        <v>0</v>
      </c>
      <c r="P297" s="7">
        <v>0</v>
      </c>
      <c r="Q297" s="7">
        <v>0.68</v>
      </c>
      <c r="R297" s="7">
        <v>0</v>
      </c>
      <c r="S297" s="17">
        <v>0.75</v>
      </c>
      <c r="T297" s="18">
        <f t="shared" si="4"/>
        <v>0.32374999999999998</v>
      </c>
    </row>
    <row r="298" spans="2:20" x14ac:dyDescent="0.3">
      <c r="B298" s="7" t="s">
        <v>328</v>
      </c>
      <c r="C298" s="7" t="s">
        <v>344</v>
      </c>
      <c r="D298" s="7">
        <v>0.96</v>
      </c>
      <c r="E298" s="7">
        <v>0.7</v>
      </c>
      <c r="F298" s="7">
        <v>0.87</v>
      </c>
      <c r="G298" s="7">
        <v>0.49</v>
      </c>
      <c r="H298" s="7">
        <v>0.39</v>
      </c>
      <c r="I298" s="7">
        <v>0.09</v>
      </c>
      <c r="J298" s="7">
        <v>0</v>
      </c>
      <c r="K298" s="7">
        <v>0.23</v>
      </c>
      <c r="L298" s="7">
        <v>0</v>
      </c>
      <c r="M298" s="7">
        <v>0</v>
      </c>
      <c r="N298" s="7">
        <v>0.95</v>
      </c>
      <c r="O298" s="7">
        <v>0</v>
      </c>
      <c r="P298" s="7">
        <v>0.98</v>
      </c>
      <c r="Q298" s="7">
        <v>0.26</v>
      </c>
      <c r="R298" s="7">
        <v>0.91</v>
      </c>
      <c r="S298" s="17">
        <v>0.91</v>
      </c>
      <c r="T298" s="18">
        <f t="shared" si="4"/>
        <v>0.48375000000000001</v>
      </c>
    </row>
    <row r="299" spans="2:20" x14ac:dyDescent="0.3">
      <c r="B299" s="7" t="s">
        <v>327</v>
      </c>
      <c r="C299" s="7" t="s">
        <v>348</v>
      </c>
      <c r="D299" s="7">
        <v>0.31</v>
      </c>
      <c r="E299" s="7">
        <v>0.99</v>
      </c>
      <c r="F299" s="7">
        <v>0.4</v>
      </c>
      <c r="G299" s="7">
        <v>0.13</v>
      </c>
      <c r="H299" s="7">
        <v>0</v>
      </c>
      <c r="I299" s="7">
        <v>0.76</v>
      </c>
      <c r="J299" s="7">
        <v>0</v>
      </c>
      <c r="K299" s="7">
        <v>0.72</v>
      </c>
      <c r="L299" s="7">
        <v>0</v>
      </c>
      <c r="M299" s="7">
        <v>0.78</v>
      </c>
      <c r="N299" s="7">
        <v>0</v>
      </c>
      <c r="O299" s="7">
        <v>0.68</v>
      </c>
      <c r="P299" s="7">
        <v>0</v>
      </c>
      <c r="Q299" s="7">
        <v>0.52</v>
      </c>
      <c r="R299" s="7">
        <v>0.94</v>
      </c>
      <c r="S299" s="17">
        <v>0.7</v>
      </c>
      <c r="T299" s="18">
        <f t="shared" si="4"/>
        <v>0.43312499999999993</v>
      </c>
    </row>
    <row r="300" spans="2:20" x14ac:dyDescent="0.3">
      <c r="B300" s="7" t="s">
        <v>329</v>
      </c>
      <c r="C300" s="7" t="s">
        <v>348</v>
      </c>
      <c r="D300" s="7">
        <v>0.81</v>
      </c>
      <c r="E300" s="7">
        <v>0.24</v>
      </c>
      <c r="F300" s="7">
        <v>0.68</v>
      </c>
      <c r="G300" s="7">
        <v>0.88</v>
      </c>
      <c r="H300" s="7">
        <v>0.11</v>
      </c>
      <c r="I300" s="7">
        <v>0</v>
      </c>
      <c r="J300" s="7">
        <v>0.52</v>
      </c>
      <c r="K300" s="7">
        <v>0.16</v>
      </c>
      <c r="L300" s="7">
        <v>0.01</v>
      </c>
      <c r="M300" s="7">
        <v>0.35</v>
      </c>
      <c r="N300" s="7">
        <v>0.56000000000000005</v>
      </c>
      <c r="O300" s="7">
        <v>0.99</v>
      </c>
      <c r="P300" s="7">
        <v>0.05</v>
      </c>
      <c r="Q300" s="7">
        <v>0.93</v>
      </c>
      <c r="R300" s="7">
        <v>0.06</v>
      </c>
      <c r="S300" s="17">
        <v>0.06</v>
      </c>
      <c r="T300" s="18">
        <f t="shared" si="4"/>
        <v>0.40062499999999995</v>
      </c>
    </row>
    <row r="301" spans="2:20" x14ac:dyDescent="0.3">
      <c r="B301" s="7" t="s">
        <v>330</v>
      </c>
      <c r="C301" s="7" t="s">
        <v>345</v>
      </c>
      <c r="D301" s="7">
        <v>0.76</v>
      </c>
      <c r="E301" s="7">
        <v>0.17</v>
      </c>
      <c r="F301" s="7">
        <v>0</v>
      </c>
      <c r="G301" s="7">
        <v>0.53</v>
      </c>
      <c r="H301" s="7">
        <v>0.3</v>
      </c>
      <c r="I301" s="7">
        <v>0.25</v>
      </c>
      <c r="J301" s="7">
        <v>0</v>
      </c>
      <c r="K301" s="7">
        <v>0.68</v>
      </c>
      <c r="L301" s="7">
        <v>0</v>
      </c>
      <c r="M301" s="7">
        <v>0</v>
      </c>
      <c r="N301" s="7">
        <v>0.62</v>
      </c>
      <c r="O301" s="7">
        <v>0.61</v>
      </c>
      <c r="P301" s="7">
        <v>0.7</v>
      </c>
      <c r="Q301" s="7">
        <v>0.03</v>
      </c>
      <c r="R301" s="7">
        <v>0.01</v>
      </c>
      <c r="S301" s="17">
        <v>0.22</v>
      </c>
      <c r="T301" s="18">
        <f t="shared" si="4"/>
        <v>0.30499999999999999</v>
      </c>
    </row>
    <row r="302" spans="2:20" x14ac:dyDescent="0.3">
      <c r="B302" s="7" t="s">
        <v>331</v>
      </c>
      <c r="C302" s="7" t="s">
        <v>348</v>
      </c>
      <c r="D302" s="7">
        <v>0.22</v>
      </c>
      <c r="E302" s="7">
        <v>0.1</v>
      </c>
      <c r="F302" s="7">
        <v>0.62</v>
      </c>
      <c r="G302" s="7">
        <v>0.03</v>
      </c>
      <c r="H302" s="7">
        <v>0.19</v>
      </c>
      <c r="I302" s="7">
        <v>0.02</v>
      </c>
      <c r="J302" s="7">
        <v>0.69</v>
      </c>
      <c r="K302" s="7">
        <v>0.04</v>
      </c>
      <c r="L302" s="7">
        <v>0</v>
      </c>
      <c r="M302" s="7">
        <v>0.47</v>
      </c>
      <c r="N302" s="7">
        <v>0.31</v>
      </c>
      <c r="O302" s="7">
        <v>0</v>
      </c>
      <c r="P302" s="7">
        <v>0.62</v>
      </c>
      <c r="Q302" s="7">
        <v>0.14000000000000001</v>
      </c>
      <c r="R302" s="7">
        <v>0.55000000000000004</v>
      </c>
      <c r="S302" s="17">
        <v>0.4</v>
      </c>
      <c r="T302" s="18">
        <f t="shared" si="4"/>
        <v>0.27500000000000002</v>
      </c>
    </row>
    <row r="303" spans="2:20" x14ac:dyDescent="0.3">
      <c r="B303" s="7" t="s">
        <v>332</v>
      </c>
      <c r="C303" s="7" t="s">
        <v>346</v>
      </c>
      <c r="D303" s="7">
        <v>0.45</v>
      </c>
      <c r="E303" s="7">
        <v>0.61</v>
      </c>
      <c r="F303" s="7">
        <v>0.33</v>
      </c>
      <c r="G303" s="7">
        <v>0.99</v>
      </c>
      <c r="H303" s="7">
        <v>0</v>
      </c>
      <c r="I303" s="7">
        <v>0.32</v>
      </c>
      <c r="J303" s="7">
        <v>0</v>
      </c>
      <c r="K303" s="7">
        <v>0.02</v>
      </c>
      <c r="L303" s="7">
        <v>0.79</v>
      </c>
      <c r="M303" s="7">
        <v>0.31</v>
      </c>
      <c r="N303" s="7">
        <v>0.98</v>
      </c>
      <c r="O303" s="7">
        <v>0</v>
      </c>
      <c r="P303" s="7">
        <v>0</v>
      </c>
      <c r="Q303" s="7">
        <v>0.46</v>
      </c>
      <c r="R303" s="7">
        <v>0.42</v>
      </c>
      <c r="S303" s="17">
        <v>0.21</v>
      </c>
      <c r="T303" s="18">
        <f t="shared" si="4"/>
        <v>0.36812499999999998</v>
      </c>
    </row>
    <row r="304" spans="2:20" x14ac:dyDescent="0.3">
      <c r="B304" s="7" t="s">
        <v>333</v>
      </c>
      <c r="C304" s="7" t="s">
        <v>346</v>
      </c>
      <c r="D304" s="7">
        <v>0.15</v>
      </c>
      <c r="E304" s="7">
        <v>0.32</v>
      </c>
      <c r="F304" s="7">
        <v>0.6</v>
      </c>
      <c r="G304" s="7">
        <v>0.66</v>
      </c>
      <c r="H304" s="7">
        <v>0.88</v>
      </c>
      <c r="I304" s="7">
        <v>0.24</v>
      </c>
      <c r="J304" s="7">
        <v>1</v>
      </c>
      <c r="K304" s="7">
        <v>0.47</v>
      </c>
      <c r="L304" s="7">
        <v>0.38</v>
      </c>
      <c r="M304" s="7">
        <v>0.85</v>
      </c>
      <c r="N304" s="7">
        <v>0.17</v>
      </c>
      <c r="O304" s="7">
        <v>0.49</v>
      </c>
      <c r="P304" s="7">
        <v>0.99</v>
      </c>
      <c r="Q304" s="7">
        <v>0.1</v>
      </c>
      <c r="R304" s="7">
        <v>0</v>
      </c>
      <c r="S304" s="17">
        <v>0.91</v>
      </c>
      <c r="T304" s="18">
        <f t="shared" si="4"/>
        <v>0.51312499999999994</v>
      </c>
    </row>
    <row r="305" spans="2:20" x14ac:dyDescent="0.3">
      <c r="B305" s="7" t="s">
        <v>334</v>
      </c>
      <c r="C305" s="7" t="s">
        <v>349</v>
      </c>
      <c r="D305" s="7">
        <v>0.13</v>
      </c>
      <c r="E305" s="7">
        <v>0</v>
      </c>
      <c r="F305" s="7">
        <v>0.44</v>
      </c>
      <c r="G305" s="7">
        <v>0.03</v>
      </c>
      <c r="H305" s="7">
        <v>0.63</v>
      </c>
      <c r="I305" s="7">
        <v>0.54</v>
      </c>
      <c r="J305" s="7">
        <v>0.44</v>
      </c>
      <c r="K305" s="7">
        <v>0.11</v>
      </c>
      <c r="L305" s="7">
        <v>0.08</v>
      </c>
      <c r="M305" s="7">
        <v>0</v>
      </c>
      <c r="N305" s="7">
        <v>0.28000000000000003</v>
      </c>
      <c r="O305" s="7">
        <v>0.27</v>
      </c>
      <c r="P305" s="7">
        <v>0.28999999999999998</v>
      </c>
      <c r="Q305" s="7">
        <v>0</v>
      </c>
      <c r="R305" s="7">
        <v>0.86</v>
      </c>
      <c r="S305" s="17">
        <v>0.09</v>
      </c>
      <c r="T305" s="18">
        <f t="shared" si="4"/>
        <v>0.26187499999999997</v>
      </c>
    </row>
    <row r="306" spans="2:20" x14ac:dyDescent="0.3">
      <c r="B306" s="7" t="s">
        <v>335</v>
      </c>
      <c r="C306" s="7" t="s">
        <v>344</v>
      </c>
      <c r="D306" s="7">
        <v>0.9</v>
      </c>
      <c r="E306" s="7">
        <v>0.84</v>
      </c>
      <c r="F306" s="7">
        <v>0.72</v>
      </c>
      <c r="G306" s="7">
        <v>0.78</v>
      </c>
      <c r="H306" s="7">
        <v>0.74</v>
      </c>
      <c r="I306" s="7">
        <v>0.97</v>
      </c>
      <c r="J306" s="7">
        <v>0.01</v>
      </c>
      <c r="K306" s="7">
        <v>0</v>
      </c>
      <c r="L306" s="7">
        <v>0.99</v>
      </c>
      <c r="M306" s="7">
        <v>0.55000000000000004</v>
      </c>
      <c r="N306" s="7">
        <v>0.44</v>
      </c>
      <c r="O306" s="7">
        <v>0.2</v>
      </c>
      <c r="P306" s="7">
        <v>0.14000000000000001</v>
      </c>
      <c r="Q306" s="7">
        <v>0.11</v>
      </c>
      <c r="R306" s="7">
        <v>0.68</v>
      </c>
      <c r="S306" s="17">
        <v>0.31</v>
      </c>
      <c r="T306" s="18">
        <f t="shared" si="4"/>
        <v>0.52375000000000005</v>
      </c>
    </row>
    <row r="307" spans="2:20" x14ac:dyDescent="0.3">
      <c r="B307" s="7" t="s">
        <v>336</v>
      </c>
      <c r="C307" s="7" t="s">
        <v>345</v>
      </c>
      <c r="D307" s="7">
        <v>0.62</v>
      </c>
      <c r="E307" s="7">
        <v>0.4</v>
      </c>
      <c r="F307" s="7">
        <v>0.23</v>
      </c>
      <c r="G307" s="7">
        <v>0.83</v>
      </c>
      <c r="H307" s="7">
        <v>0.91</v>
      </c>
      <c r="I307" s="7">
        <v>0.88</v>
      </c>
      <c r="J307" s="7">
        <v>0.56000000000000005</v>
      </c>
      <c r="K307" s="7">
        <v>0.03</v>
      </c>
      <c r="L307" s="7">
        <v>0.76</v>
      </c>
      <c r="M307" s="7">
        <v>0</v>
      </c>
      <c r="N307" s="7">
        <v>0.12</v>
      </c>
      <c r="O307" s="7">
        <v>0.8</v>
      </c>
      <c r="P307" s="7">
        <v>0.47</v>
      </c>
      <c r="Q307" s="7">
        <v>0</v>
      </c>
      <c r="R307" s="7">
        <v>0.1</v>
      </c>
      <c r="S307" s="17">
        <v>0.33</v>
      </c>
      <c r="T307" s="18">
        <f t="shared" si="4"/>
        <v>0.43999999999999995</v>
      </c>
    </row>
    <row r="308" spans="2:20" x14ac:dyDescent="0.3">
      <c r="B308" s="7" t="s">
        <v>337</v>
      </c>
      <c r="C308" s="7" t="s">
        <v>345</v>
      </c>
      <c r="D308" s="7">
        <v>0.54</v>
      </c>
      <c r="E308" s="7">
        <v>0.33</v>
      </c>
      <c r="F308" s="7">
        <v>0</v>
      </c>
      <c r="G308" s="7">
        <v>0.72</v>
      </c>
      <c r="H308" s="7">
        <v>0.44</v>
      </c>
      <c r="I308" s="7">
        <v>0.72</v>
      </c>
      <c r="J308" s="7">
        <v>0.83</v>
      </c>
      <c r="K308" s="7">
        <v>0</v>
      </c>
      <c r="L308" s="7">
        <v>0</v>
      </c>
      <c r="M308" s="7">
        <v>0</v>
      </c>
      <c r="N308" s="7">
        <v>0.21</v>
      </c>
      <c r="O308" s="7">
        <v>0.95</v>
      </c>
      <c r="P308" s="7">
        <v>0.73</v>
      </c>
      <c r="Q308" s="7">
        <v>0.79</v>
      </c>
      <c r="R308" s="7">
        <v>0</v>
      </c>
      <c r="S308" s="17">
        <v>0.49</v>
      </c>
      <c r="T308" s="18">
        <f t="shared" si="4"/>
        <v>0.42187500000000006</v>
      </c>
    </row>
    <row r="309" spans="2:20" x14ac:dyDescent="0.3">
      <c r="B309" s="7" t="s">
        <v>248</v>
      </c>
      <c r="C309" s="7" t="s">
        <v>349</v>
      </c>
      <c r="D309" s="7">
        <v>0.55000000000000004</v>
      </c>
      <c r="E309" s="7">
        <v>0.93</v>
      </c>
      <c r="F309" s="7">
        <v>0.14000000000000001</v>
      </c>
      <c r="G309" s="7">
        <v>0</v>
      </c>
      <c r="H309" s="7">
        <v>0.52</v>
      </c>
      <c r="I309" s="7">
        <v>0</v>
      </c>
      <c r="J309" s="7">
        <v>0</v>
      </c>
      <c r="K309" s="7">
        <v>0.33</v>
      </c>
      <c r="L309" s="7">
        <v>0.1</v>
      </c>
      <c r="M309" s="7">
        <v>0.41</v>
      </c>
      <c r="N309" s="7">
        <v>0.38</v>
      </c>
      <c r="O309" s="7">
        <v>0.83</v>
      </c>
      <c r="P309" s="7">
        <v>0</v>
      </c>
      <c r="Q309" s="7">
        <v>0.23</v>
      </c>
      <c r="R309" s="7">
        <v>0.18</v>
      </c>
      <c r="S309" s="17">
        <v>0.52</v>
      </c>
      <c r="T309" s="18">
        <f t="shared" si="4"/>
        <v>0.32000000000000006</v>
      </c>
    </row>
    <row r="310" spans="2:20" x14ac:dyDescent="0.3">
      <c r="B310" s="7" t="s">
        <v>338</v>
      </c>
      <c r="C310" s="7" t="s">
        <v>344</v>
      </c>
      <c r="D310" s="7">
        <v>0.92</v>
      </c>
      <c r="E310" s="7">
        <v>0.53</v>
      </c>
      <c r="F310" s="7">
        <v>0.08</v>
      </c>
      <c r="G310" s="7">
        <v>0.77</v>
      </c>
      <c r="H310" s="7">
        <v>0.34</v>
      </c>
      <c r="I310" s="7">
        <v>0.09</v>
      </c>
      <c r="J310" s="7">
        <v>0.4</v>
      </c>
      <c r="K310" s="7">
        <v>0.57999999999999996</v>
      </c>
      <c r="L310" s="7">
        <v>0.37</v>
      </c>
      <c r="M310" s="7">
        <v>0.87</v>
      </c>
      <c r="N310" s="7">
        <v>0.28999999999999998</v>
      </c>
      <c r="O310" s="7">
        <v>0.91</v>
      </c>
      <c r="P310" s="7">
        <v>0.75</v>
      </c>
      <c r="Q310" s="7">
        <v>0.6</v>
      </c>
      <c r="R310" s="7">
        <v>0.02</v>
      </c>
      <c r="S310" s="17">
        <v>7.0000000000000007E-2</v>
      </c>
      <c r="T310" s="18">
        <f t="shared" si="4"/>
        <v>0.47437499999999999</v>
      </c>
    </row>
    <row r="311" spans="2:20" x14ac:dyDescent="0.3">
      <c r="B311" s="7" t="s">
        <v>339</v>
      </c>
      <c r="C311" s="7" t="s">
        <v>345</v>
      </c>
      <c r="D311" s="7">
        <v>0.94</v>
      </c>
      <c r="E311" s="7">
        <v>0</v>
      </c>
      <c r="F311" s="7">
        <v>0</v>
      </c>
      <c r="G311" s="7">
        <v>0.41</v>
      </c>
      <c r="H311" s="7">
        <v>0.09</v>
      </c>
      <c r="I311" s="7">
        <v>0.22</v>
      </c>
      <c r="J311" s="7">
        <v>0.03</v>
      </c>
      <c r="K311" s="7">
        <v>0.61</v>
      </c>
      <c r="L311" s="7">
        <v>0.86</v>
      </c>
      <c r="M311" s="7">
        <v>0.16</v>
      </c>
      <c r="N311" s="7">
        <v>0.64</v>
      </c>
      <c r="O311" s="7">
        <v>0</v>
      </c>
      <c r="P311" s="7">
        <v>0.69</v>
      </c>
      <c r="Q311" s="7">
        <v>0.9</v>
      </c>
      <c r="R311" s="7">
        <v>0.56000000000000005</v>
      </c>
      <c r="S311" s="17">
        <v>0.04</v>
      </c>
      <c r="T311" s="18">
        <f t="shared" si="4"/>
        <v>0.38437500000000008</v>
      </c>
    </row>
    <row r="312" spans="2:20" x14ac:dyDescent="0.3">
      <c r="B312" s="7" t="s">
        <v>340</v>
      </c>
      <c r="C312" s="7" t="s">
        <v>346</v>
      </c>
      <c r="D312" s="7">
        <v>0</v>
      </c>
      <c r="E312" s="7">
        <v>0.34</v>
      </c>
      <c r="F312" s="7">
        <v>0.51</v>
      </c>
      <c r="G312" s="7">
        <v>0.37</v>
      </c>
      <c r="H312" s="7">
        <v>0.77</v>
      </c>
      <c r="I312" s="7">
        <v>0.74</v>
      </c>
      <c r="J312" s="7">
        <v>0.78</v>
      </c>
      <c r="K312" s="7">
        <v>0.28000000000000003</v>
      </c>
      <c r="L312" s="7">
        <v>0.02</v>
      </c>
      <c r="M312" s="7">
        <v>0.28000000000000003</v>
      </c>
      <c r="N312" s="7">
        <v>0.35</v>
      </c>
      <c r="O312" s="7">
        <v>0.28999999999999998</v>
      </c>
      <c r="P312" s="7">
        <v>0</v>
      </c>
      <c r="Q312" s="7">
        <v>0</v>
      </c>
      <c r="R312" s="7">
        <v>0.18</v>
      </c>
      <c r="S312" s="17">
        <v>0.31</v>
      </c>
      <c r="T312" s="18">
        <f t="shared" si="4"/>
        <v>0.32624999999999998</v>
      </c>
    </row>
    <row r="313" spans="2:20" x14ac:dyDescent="0.3">
      <c r="B313" s="7" t="s">
        <v>341</v>
      </c>
      <c r="C313" s="7" t="s">
        <v>347</v>
      </c>
      <c r="D313" s="7">
        <v>0.55000000000000004</v>
      </c>
      <c r="E313" s="7">
        <v>0</v>
      </c>
      <c r="F313" s="7">
        <v>0.65</v>
      </c>
      <c r="G313" s="7">
        <v>0</v>
      </c>
      <c r="H313" s="7">
        <v>0.27</v>
      </c>
      <c r="I313" s="7">
        <v>0.21</v>
      </c>
      <c r="J313" s="7">
        <v>0</v>
      </c>
      <c r="K313" s="7">
        <v>0.46</v>
      </c>
      <c r="L313" s="7">
        <v>0.8</v>
      </c>
      <c r="M313" s="7">
        <v>0.75</v>
      </c>
      <c r="N313" s="7">
        <v>0.35</v>
      </c>
      <c r="O313" s="7">
        <v>0.77</v>
      </c>
      <c r="P313" s="7">
        <v>0</v>
      </c>
      <c r="Q313" s="7">
        <v>0</v>
      </c>
      <c r="R313" s="7">
        <v>0.86</v>
      </c>
      <c r="S313" s="17">
        <v>0.68</v>
      </c>
      <c r="T313" s="18">
        <f t="shared" si="4"/>
        <v>0.39687500000000003</v>
      </c>
    </row>
    <row r="314" spans="2:20" x14ac:dyDescent="0.3">
      <c r="B314" s="7" t="s">
        <v>342</v>
      </c>
      <c r="C314" s="7" t="s">
        <v>349</v>
      </c>
      <c r="D314" s="7">
        <v>7.0000000000000007E-2</v>
      </c>
      <c r="E314" s="7">
        <v>0.16</v>
      </c>
      <c r="F314" s="7">
        <v>0.73</v>
      </c>
      <c r="G314" s="7">
        <v>0</v>
      </c>
      <c r="H314" s="7">
        <v>0</v>
      </c>
      <c r="I314" s="7">
        <v>0</v>
      </c>
      <c r="J314" s="7">
        <v>0</v>
      </c>
      <c r="K314" s="7">
        <v>0.64</v>
      </c>
      <c r="L314" s="7">
        <v>0.56000000000000005</v>
      </c>
      <c r="M314" s="7">
        <v>0.92</v>
      </c>
      <c r="N314" s="7">
        <v>0.33</v>
      </c>
      <c r="O314" s="7">
        <v>0.74</v>
      </c>
      <c r="P314" s="7">
        <v>0.6</v>
      </c>
      <c r="Q314" s="7">
        <v>0.31</v>
      </c>
      <c r="R314" s="7">
        <v>0.45</v>
      </c>
      <c r="S314" s="17">
        <v>0.88</v>
      </c>
      <c r="T314" s="18">
        <f t="shared" si="4"/>
        <v>0.39937499999999998</v>
      </c>
    </row>
    <row r="315" spans="2:20" x14ac:dyDescent="0.3">
      <c r="B315" s="7" t="s">
        <v>343</v>
      </c>
      <c r="C315" s="7" t="s">
        <v>346</v>
      </c>
      <c r="D315" s="7">
        <v>0</v>
      </c>
      <c r="E315" s="7">
        <v>0.49</v>
      </c>
      <c r="F315" s="7">
        <v>0.12</v>
      </c>
      <c r="G315" s="7">
        <v>0.46</v>
      </c>
      <c r="H315" s="7">
        <v>0.14000000000000001</v>
      </c>
      <c r="I315" s="7">
        <v>0.19</v>
      </c>
      <c r="J315" s="7">
        <v>0</v>
      </c>
      <c r="K315" s="7">
        <v>0.03</v>
      </c>
      <c r="L315" s="7">
        <v>0</v>
      </c>
      <c r="M315" s="7">
        <v>0</v>
      </c>
      <c r="N315" s="7">
        <v>0.39</v>
      </c>
      <c r="O315" s="7">
        <v>0.84</v>
      </c>
      <c r="P315" s="7">
        <v>0</v>
      </c>
      <c r="Q315" s="7">
        <v>0.17</v>
      </c>
      <c r="R315" s="7">
        <v>0.79</v>
      </c>
      <c r="S315" s="17">
        <v>0.03</v>
      </c>
      <c r="T315" s="18">
        <f t="shared" si="4"/>
        <v>0.22812499999999997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F461-5FBF-CE4C-9A19-17EE7D928ECF}">
  <dimension ref="B2:EO368"/>
  <sheetViews>
    <sheetView showGridLines="0" topLeftCell="B1" workbookViewId="0">
      <selection activeCell="G29" sqref="G29"/>
    </sheetView>
  </sheetViews>
  <sheetFormatPr defaultColWidth="10.69921875" defaultRowHeight="15.6" x14ac:dyDescent="0.3"/>
  <cols>
    <col min="2" max="2" width="25.19921875" customWidth="1"/>
  </cols>
  <sheetData>
    <row r="2" spans="2:144" x14ac:dyDescent="0.3">
      <c r="B2" s="10" t="s">
        <v>351</v>
      </c>
      <c r="C2" s="11" t="s">
        <v>352</v>
      </c>
      <c r="D2" s="11" t="s">
        <v>353</v>
      </c>
      <c r="E2" s="11" t="s">
        <v>354</v>
      </c>
      <c r="F2" s="11" t="s">
        <v>355</v>
      </c>
      <c r="G2" s="11" t="s">
        <v>356</v>
      </c>
      <c r="H2" s="11" t="s">
        <v>357</v>
      </c>
      <c r="I2" s="11" t="s">
        <v>358</v>
      </c>
      <c r="J2" s="11" t="s">
        <v>359</v>
      </c>
      <c r="K2" s="11" t="s">
        <v>360</v>
      </c>
      <c r="L2" s="11" t="s">
        <v>361</v>
      </c>
      <c r="M2" s="11" t="s">
        <v>362</v>
      </c>
      <c r="N2" s="11" t="s">
        <v>363</v>
      </c>
      <c r="O2" s="11" t="s">
        <v>364</v>
      </c>
      <c r="P2" s="11" t="s">
        <v>365</v>
      </c>
      <c r="Q2" s="11" t="s">
        <v>366</v>
      </c>
      <c r="R2" s="11" t="s">
        <v>367</v>
      </c>
      <c r="S2" s="11" t="s">
        <v>368</v>
      </c>
      <c r="T2" s="11" t="s">
        <v>369</v>
      </c>
      <c r="U2" s="11" t="s">
        <v>370</v>
      </c>
      <c r="V2" s="11" t="s">
        <v>371</v>
      </c>
      <c r="W2" s="11" t="s">
        <v>372</v>
      </c>
      <c r="X2" s="11" t="s">
        <v>373</v>
      </c>
      <c r="Y2" s="11" t="s">
        <v>374</v>
      </c>
      <c r="Z2" s="11" t="s">
        <v>375</v>
      </c>
      <c r="AA2" s="11" t="s">
        <v>376</v>
      </c>
      <c r="AB2" s="11" t="s">
        <v>377</v>
      </c>
      <c r="AC2" s="11" t="s">
        <v>378</v>
      </c>
      <c r="AD2" s="11" t="s">
        <v>379</v>
      </c>
      <c r="AE2" s="11" t="s">
        <v>380</v>
      </c>
      <c r="AF2" s="11" t="s">
        <v>381</v>
      </c>
      <c r="AG2" s="11" t="s">
        <v>382</v>
      </c>
      <c r="AH2" s="11" t="s">
        <v>383</v>
      </c>
      <c r="AI2" s="11" t="s">
        <v>384</v>
      </c>
      <c r="AJ2" s="11" t="s">
        <v>385</v>
      </c>
      <c r="AK2" s="11" t="s">
        <v>386</v>
      </c>
      <c r="AL2" s="11" t="s">
        <v>387</v>
      </c>
      <c r="AM2" s="11" t="s">
        <v>388</v>
      </c>
      <c r="AN2" s="11" t="s">
        <v>389</v>
      </c>
      <c r="AO2" s="11" t="s">
        <v>390</v>
      </c>
      <c r="AP2" s="11" t="s">
        <v>391</v>
      </c>
      <c r="AQ2" s="11" t="s">
        <v>392</v>
      </c>
      <c r="AR2" s="11" t="s">
        <v>393</v>
      </c>
      <c r="AS2" s="11" t="s">
        <v>394</v>
      </c>
      <c r="AT2" s="11" t="s">
        <v>395</v>
      </c>
      <c r="AU2" s="11" t="s">
        <v>396</v>
      </c>
      <c r="AV2" s="11" t="s">
        <v>397</v>
      </c>
      <c r="AW2" s="11" t="s">
        <v>398</v>
      </c>
      <c r="AX2" s="11" t="s">
        <v>399</v>
      </c>
      <c r="AY2" s="11" t="s">
        <v>400</v>
      </c>
      <c r="AZ2" s="11" t="s">
        <v>401</v>
      </c>
      <c r="BA2" s="11" t="s">
        <v>402</v>
      </c>
      <c r="BB2" s="11" t="s">
        <v>403</v>
      </c>
      <c r="BC2" s="11" t="s">
        <v>404</v>
      </c>
      <c r="BD2" s="11" t="s">
        <v>405</v>
      </c>
      <c r="BE2" s="11" t="s">
        <v>406</v>
      </c>
      <c r="BF2" s="11" t="s">
        <v>407</v>
      </c>
      <c r="BG2" s="11" t="s">
        <v>408</v>
      </c>
      <c r="BH2" s="11" t="s">
        <v>409</v>
      </c>
      <c r="BI2" s="11" t="s">
        <v>410</v>
      </c>
      <c r="BJ2" s="11" t="s">
        <v>411</v>
      </c>
      <c r="BK2" s="11" t="s">
        <v>412</v>
      </c>
      <c r="BL2" s="11" t="s">
        <v>413</v>
      </c>
      <c r="BM2" s="11" t="s">
        <v>414</v>
      </c>
      <c r="BN2" s="11" t="s">
        <v>415</v>
      </c>
      <c r="BO2" s="11" t="s">
        <v>416</v>
      </c>
      <c r="BP2" s="11" t="s">
        <v>417</v>
      </c>
      <c r="BQ2" s="11" t="s">
        <v>418</v>
      </c>
      <c r="BR2" s="11" t="s">
        <v>419</v>
      </c>
      <c r="BS2" s="11" t="s">
        <v>420</v>
      </c>
      <c r="BT2" s="11" t="s">
        <v>421</v>
      </c>
      <c r="BU2" s="11" t="s">
        <v>422</v>
      </c>
      <c r="BV2" s="11" t="s">
        <v>423</v>
      </c>
      <c r="BW2" s="11" t="s">
        <v>424</v>
      </c>
      <c r="BX2" s="11" t="s">
        <v>425</v>
      </c>
      <c r="BY2" s="11" t="s">
        <v>426</v>
      </c>
      <c r="BZ2" s="11" t="s">
        <v>427</v>
      </c>
      <c r="CA2" s="11" t="s">
        <v>428</v>
      </c>
      <c r="CB2" s="11" t="s">
        <v>429</v>
      </c>
      <c r="CC2" s="11" t="s">
        <v>430</v>
      </c>
      <c r="CD2" s="11" t="s">
        <v>431</v>
      </c>
      <c r="CE2" s="11" t="s">
        <v>432</v>
      </c>
      <c r="CF2" s="11" t="s">
        <v>433</v>
      </c>
      <c r="CG2" s="11" t="s">
        <v>434</v>
      </c>
      <c r="CH2" s="11" t="s">
        <v>435</v>
      </c>
      <c r="CI2" s="11" t="s">
        <v>436</v>
      </c>
      <c r="CJ2" s="11" t="s">
        <v>437</v>
      </c>
      <c r="CK2" s="11" t="s">
        <v>438</v>
      </c>
      <c r="CL2" s="11" t="s">
        <v>439</v>
      </c>
      <c r="CM2" s="11" t="s">
        <v>440</v>
      </c>
      <c r="CN2" s="11" t="s">
        <v>441</v>
      </c>
      <c r="CO2" s="11" t="s">
        <v>442</v>
      </c>
      <c r="CP2" s="11" t="s">
        <v>443</v>
      </c>
      <c r="CQ2" s="11" t="s">
        <v>444</v>
      </c>
      <c r="CR2" s="11" t="s">
        <v>445</v>
      </c>
      <c r="CS2" s="11" t="s">
        <v>446</v>
      </c>
      <c r="CT2" s="11" t="s">
        <v>447</v>
      </c>
      <c r="CU2" s="11" t="s">
        <v>448</v>
      </c>
      <c r="CV2" s="11" t="s">
        <v>449</v>
      </c>
      <c r="CW2" s="11" t="s">
        <v>450</v>
      </c>
      <c r="CX2" s="11" t="s">
        <v>451</v>
      </c>
      <c r="CY2" s="11" t="s">
        <v>452</v>
      </c>
      <c r="CZ2" s="11" t="s">
        <v>453</v>
      </c>
      <c r="DA2" s="11" t="s">
        <v>454</v>
      </c>
      <c r="DB2" s="11" t="s">
        <v>455</v>
      </c>
      <c r="DC2" s="11" t="s">
        <v>456</v>
      </c>
      <c r="DD2" s="11" t="s">
        <v>457</v>
      </c>
      <c r="DE2" s="11" t="s">
        <v>458</v>
      </c>
      <c r="DF2" s="11" t="s">
        <v>459</v>
      </c>
      <c r="DG2" s="11" t="s">
        <v>460</v>
      </c>
      <c r="DH2" s="11" t="s">
        <v>461</v>
      </c>
      <c r="DI2" s="11" t="s">
        <v>462</v>
      </c>
      <c r="DJ2" s="11" t="s">
        <v>463</v>
      </c>
      <c r="DK2" s="11" t="s">
        <v>464</v>
      </c>
      <c r="DL2" s="11" t="s">
        <v>465</v>
      </c>
      <c r="DM2" s="11" t="s">
        <v>466</v>
      </c>
      <c r="DN2" s="11" t="s">
        <v>467</v>
      </c>
      <c r="DO2" s="11" t="s">
        <v>468</v>
      </c>
      <c r="DP2" s="11" t="s">
        <v>469</v>
      </c>
      <c r="DQ2" s="11" t="s">
        <v>470</v>
      </c>
      <c r="DR2" s="11" t="s">
        <v>471</v>
      </c>
      <c r="DS2" s="11" t="s">
        <v>472</v>
      </c>
      <c r="DT2" s="11" t="s">
        <v>473</v>
      </c>
      <c r="DU2" s="11" t="s">
        <v>474</v>
      </c>
      <c r="DV2" s="11" t="s">
        <v>475</v>
      </c>
      <c r="DW2" s="11" t="s">
        <v>476</v>
      </c>
      <c r="DX2" s="11" t="s">
        <v>477</v>
      </c>
      <c r="DY2" s="11" t="s">
        <v>478</v>
      </c>
      <c r="DZ2" s="11" t="s">
        <v>479</v>
      </c>
      <c r="EA2" s="11" t="s">
        <v>480</v>
      </c>
      <c r="EB2" s="11" t="s">
        <v>481</v>
      </c>
      <c r="EC2" s="11" t="s">
        <v>482</v>
      </c>
      <c r="ED2" s="11" t="s">
        <v>483</v>
      </c>
      <c r="EE2" s="11" t="s">
        <v>484</v>
      </c>
      <c r="EF2" s="11" t="s">
        <v>485</v>
      </c>
      <c r="EG2" s="11" t="s">
        <v>486</v>
      </c>
      <c r="EH2" s="11" t="s">
        <v>487</v>
      </c>
      <c r="EI2" s="11" t="s">
        <v>488</v>
      </c>
      <c r="EJ2" s="11" t="s">
        <v>489</v>
      </c>
      <c r="EK2" s="11" t="s">
        <v>490</v>
      </c>
      <c r="EL2" s="11" t="s">
        <v>491</v>
      </c>
      <c r="EM2" s="11" t="s">
        <v>492</v>
      </c>
      <c r="EN2" s="11" t="s">
        <v>493</v>
      </c>
    </row>
    <row r="3" spans="2:144" x14ac:dyDescent="0.3">
      <c r="B3" s="9">
        <v>0</v>
      </c>
      <c r="C3" s="2">
        <v>100</v>
      </c>
      <c r="D3" s="2">
        <v>20</v>
      </c>
      <c r="E3" s="2">
        <v>60</v>
      </c>
      <c r="F3" s="2">
        <v>40</v>
      </c>
      <c r="G3" s="2">
        <v>90</v>
      </c>
      <c r="H3" s="2">
        <v>50</v>
      </c>
      <c r="I3" s="2">
        <v>20</v>
      </c>
      <c r="J3" s="2">
        <v>70</v>
      </c>
      <c r="K3" s="2">
        <v>20</v>
      </c>
      <c r="L3" s="2">
        <v>80</v>
      </c>
      <c r="M3" s="2">
        <v>60</v>
      </c>
      <c r="N3" s="2">
        <v>60</v>
      </c>
      <c r="O3" s="2">
        <v>70</v>
      </c>
      <c r="P3" s="2">
        <v>90</v>
      </c>
      <c r="Q3" s="2">
        <v>20</v>
      </c>
      <c r="R3" s="2">
        <v>50</v>
      </c>
      <c r="S3" s="2">
        <v>40</v>
      </c>
      <c r="T3" s="2">
        <v>100</v>
      </c>
      <c r="U3" s="2">
        <v>20</v>
      </c>
      <c r="V3" s="2">
        <v>90</v>
      </c>
      <c r="W3" s="2">
        <v>50</v>
      </c>
      <c r="X3" s="2">
        <v>20</v>
      </c>
      <c r="Y3" s="2">
        <v>20</v>
      </c>
      <c r="Z3" s="2">
        <v>60</v>
      </c>
      <c r="AA3" s="2">
        <v>30</v>
      </c>
      <c r="AB3" s="2">
        <v>100</v>
      </c>
      <c r="AC3" s="2">
        <v>20</v>
      </c>
      <c r="AD3" s="2">
        <v>60</v>
      </c>
      <c r="AE3" s="2">
        <v>30</v>
      </c>
      <c r="AF3" s="2">
        <v>40</v>
      </c>
      <c r="AG3" s="2">
        <v>60</v>
      </c>
      <c r="AH3" s="2">
        <v>20</v>
      </c>
      <c r="AI3" s="2">
        <v>20</v>
      </c>
      <c r="AJ3" s="2">
        <v>20</v>
      </c>
      <c r="AK3" s="2">
        <v>100</v>
      </c>
      <c r="AL3" s="2">
        <v>10</v>
      </c>
      <c r="AM3" s="2">
        <v>20</v>
      </c>
      <c r="AN3" s="2">
        <v>100</v>
      </c>
      <c r="AO3" s="2">
        <v>60</v>
      </c>
      <c r="AP3" s="2">
        <v>20</v>
      </c>
      <c r="AQ3" s="2">
        <v>90</v>
      </c>
      <c r="AR3" s="2">
        <v>20</v>
      </c>
      <c r="AS3" s="2">
        <v>40</v>
      </c>
      <c r="AT3" s="2">
        <v>20</v>
      </c>
      <c r="AU3" s="2">
        <v>60</v>
      </c>
      <c r="AV3" s="2">
        <v>100</v>
      </c>
      <c r="AW3" s="2">
        <v>80</v>
      </c>
      <c r="AX3" s="2">
        <v>10</v>
      </c>
      <c r="AY3" s="2">
        <v>100</v>
      </c>
      <c r="AZ3" s="2">
        <v>50</v>
      </c>
      <c r="BA3" s="2">
        <v>20</v>
      </c>
      <c r="BB3" s="2">
        <v>80</v>
      </c>
      <c r="BC3" s="2">
        <v>70</v>
      </c>
      <c r="BD3" s="2">
        <v>60</v>
      </c>
      <c r="BE3" s="2">
        <v>100</v>
      </c>
      <c r="BF3" s="2">
        <v>40</v>
      </c>
      <c r="BG3" s="2">
        <v>90</v>
      </c>
      <c r="BH3" s="2">
        <v>10</v>
      </c>
      <c r="BI3" s="2">
        <v>40</v>
      </c>
      <c r="BJ3" s="2">
        <v>30</v>
      </c>
      <c r="BK3" s="2">
        <v>30</v>
      </c>
      <c r="BL3" s="2">
        <v>70</v>
      </c>
      <c r="BM3" s="2">
        <v>30</v>
      </c>
      <c r="BN3" s="2">
        <v>60</v>
      </c>
      <c r="BO3" s="2">
        <v>100</v>
      </c>
      <c r="BP3" s="2">
        <v>90</v>
      </c>
      <c r="BQ3" s="2">
        <v>100</v>
      </c>
      <c r="BR3" s="2">
        <v>60</v>
      </c>
      <c r="BS3" s="2">
        <v>90</v>
      </c>
      <c r="BT3" s="2">
        <v>10</v>
      </c>
      <c r="BU3" s="2">
        <v>60</v>
      </c>
      <c r="BV3" s="2">
        <v>10</v>
      </c>
      <c r="BW3" s="2">
        <v>80</v>
      </c>
      <c r="BX3" s="2">
        <v>70</v>
      </c>
      <c r="BY3" s="2">
        <v>90</v>
      </c>
      <c r="BZ3" s="2">
        <v>20</v>
      </c>
      <c r="CA3" s="2">
        <v>10</v>
      </c>
      <c r="CB3" s="2">
        <v>60</v>
      </c>
      <c r="CC3" s="2">
        <v>20</v>
      </c>
      <c r="CD3" s="2">
        <v>70</v>
      </c>
      <c r="CE3" s="2">
        <v>60</v>
      </c>
      <c r="CF3" s="2">
        <v>60</v>
      </c>
      <c r="CG3" s="2">
        <v>100</v>
      </c>
      <c r="CH3" s="2">
        <v>20</v>
      </c>
      <c r="CI3" s="2">
        <v>70</v>
      </c>
      <c r="CJ3" s="2">
        <v>10</v>
      </c>
      <c r="CK3" s="2">
        <v>20</v>
      </c>
      <c r="CL3" s="2">
        <v>50</v>
      </c>
      <c r="CM3" s="2">
        <v>20</v>
      </c>
      <c r="CN3" s="2">
        <v>70</v>
      </c>
      <c r="CO3" s="2">
        <v>70</v>
      </c>
      <c r="CP3" s="2">
        <v>90</v>
      </c>
      <c r="CQ3" s="2">
        <v>80</v>
      </c>
      <c r="CR3" s="2">
        <v>70</v>
      </c>
      <c r="CS3" s="2">
        <v>60</v>
      </c>
      <c r="CT3" s="2">
        <v>70</v>
      </c>
      <c r="CU3" s="2">
        <v>40</v>
      </c>
      <c r="CV3" s="2">
        <v>50</v>
      </c>
      <c r="CW3" s="2">
        <v>20</v>
      </c>
      <c r="CX3" s="2">
        <v>10</v>
      </c>
      <c r="CY3" s="2">
        <v>70</v>
      </c>
      <c r="CZ3" s="2">
        <v>40</v>
      </c>
      <c r="DA3" s="2">
        <v>40</v>
      </c>
      <c r="DB3" s="2">
        <v>20</v>
      </c>
      <c r="DC3" s="2">
        <v>90</v>
      </c>
      <c r="DD3" s="2">
        <v>20</v>
      </c>
      <c r="DE3" s="2">
        <v>30</v>
      </c>
      <c r="DF3" s="2">
        <v>20</v>
      </c>
      <c r="DG3" s="2">
        <v>40</v>
      </c>
      <c r="DH3" s="2">
        <v>20</v>
      </c>
      <c r="DI3" s="2">
        <v>40</v>
      </c>
      <c r="DJ3" s="2">
        <v>10</v>
      </c>
      <c r="DK3" s="2">
        <v>80</v>
      </c>
      <c r="DL3" s="2">
        <v>20</v>
      </c>
      <c r="DM3" s="2">
        <v>100</v>
      </c>
      <c r="DN3" s="2">
        <v>40</v>
      </c>
      <c r="DO3" s="2">
        <v>10</v>
      </c>
      <c r="DP3" s="2">
        <v>60</v>
      </c>
      <c r="DQ3" s="2">
        <v>30</v>
      </c>
      <c r="DR3" s="2">
        <v>50</v>
      </c>
      <c r="DS3" s="2">
        <v>20</v>
      </c>
      <c r="DT3" s="2">
        <v>40</v>
      </c>
      <c r="DU3" s="2">
        <v>90</v>
      </c>
      <c r="DV3" s="2">
        <v>50</v>
      </c>
      <c r="DW3" s="2">
        <v>50</v>
      </c>
      <c r="DX3" s="2">
        <v>30</v>
      </c>
      <c r="DY3" s="2">
        <v>100</v>
      </c>
      <c r="DZ3" s="2">
        <v>20</v>
      </c>
      <c r="EA3" s="2">
        <v>10</v>
      </c>
      <c r="EB3" s="2">
        <v>90</v>
      </c>
      <c r="EC3" s="2">
        <v>80</v>
      </c>
      <c r="ED3" s="2">
        <v>40</v>
      </c>
      <c r="EE3" s="2">
        <v>50</v>
      </c>
      <c r="EF3" s="2">
        <v>100</v>
      </c>
      <c r="EG3" s="2">
        <v>20</v>
      </c>
      <c r="EH3" s="2">
        <v>40</v>
      </c>
      <c r="EI3" s="2">
        <v>40</v>
      </c>
      <c r="EJ3" s="2">
        <v>30</v>
      </c>
      <c r="EK3" s="2">
        <v>20</v>
      </c>
      <c r="EL3" s="2">
        <v>10</v>
      </c>
      <c r="EM3" s="2">
        <v>30</v>
      </c>
      <c r="EN3" s="2">
        <v>90</v>
      </c>
    </row>
    <row r="4" spans="2:144" x14ac:dyDescent="0.3">
      <c r="B4" s="9">
        <v>4.1666666666666699E-2</v>
      </c>
      <c r="C4" s="2">
        <v>20</v>
      </c>
      <c r="D4" s="2">
        <v>50</v>
      </c>
      <c r="E4" s="2">
        <v>40</v>
      </c>
      <c r="F4" s="2">
        <v>70</v>
      </c>
      <c r="G4" s="2">
        <v>60</v>
      </c>
      <c r="H4" s="2">
        <v>100</v>
      </c>
      <c r="I4" s="2">
        <v>30</v>
      </c>
      <c r="J4" s="2">
        <v>50</v>
      </c>
      <c r="K4" s="2">
        <v>80</v>
      </c>
      <c r="L4" s="2">
        <v>40</v>
      </c>
      <c r="M4" s="2">
        <v>10</v>
      </c>
      <c r="N4" s="2">
        <v>20</v>
      </c>
      <c r="O4" s="2">
        <v>90</v>
      </c>
      <c r="P4" s="2">
        <v>70</v>
      </c>
      <c r="Q4" s="2">
        <v>10</v>
      </c>
      <c r="R4" s="2">
        <v>10</v>
      </c>
      <c r="S4" s="2">
        <v>20</v>
      </c>
      <c r="T4" s="2">
        <v>20</v>
      </c>
      <c r="U4" s="2">
        <v>90</v>
      </c>
      <c r="V4" s="2">
        <v>50</v>
      </c>
      <c r="W4" s="2">
        <v>20</v>
      </c>
      <c r="X4" s="2">
        <v>90</v>
      </c>
      <c r="Y4" s="2">
        <v>40</v>
      </c>
      <c r="Z4" s="2">
        <v>10</v>
      </c>
      <c r="AA4" s="2">
        <v>80</v>
      </c>
      <c r="AB4" s="2">
        <v>10</v>
      </c>
      <c r="AC4" s="2">
        <v>30</v>
      </c>
      <c r="AD4" s="2">
        <v>20</v>
      </c>
      <c r="AE4" s="2">
        <v>70</v>
      </c>
      <c r="AF4" s="2">
        <v>50</v>
      </c>
      <c r="AG4" s="2">
        <v>100</v>
      </c>
      <c r="AH4" s="2">
        <v>90</v>
      </c>
      <c r="AI4" s="2">
        <v>100</v>
      </c>
      <c r="AJ4" s="2">
        <v>10</v>
      </c>
      <c r="AK4" s="2">
        <v>40</v>
      </c>
      <c r="AL4" s="2">
        <v>20</v>
      </c>
      <c r="AM4" s="2">
        <v>40</v>
      </c>
      <c r="AN4" s="2">
        <v>40</v>
      </c>
      <c r="AO4" s="2">
        <v>40</v>
      </c>
      <c r="AP4" s="2">
        <v>40</v>
      </c>
      <c r="AQ4" s="2">
        <v>20</v>
      </c>
      <c r="AR4" s="2">
        <v>20</v>
      </c>
      <c r="AS4" s="2">
        <v>40</v>
      </c>
      <c r="AT4" s="2">
        <v>60</v>
      </c>
      <c r="AU4" s="2">
        <v>80</v>
      </c>
      <c r="AV4" s="2">
        <v>90</v>
      </c>
      <c r="AW4" s="2">
        <v>70</v>
      </c>
      <c r="AX4" s="2">
        <v>40</v>
      </c>
      <c r="AY4" s="2">
        <v>20</v>
      </c>
      <c r="AZ4" s="2">
        <v>30</v>
      </c>
      <c r="BA4" s="2">
        <v>40</v>
      </c>
      <c r="BB4" s="2">
        <v>20</v>
      </c>
      <c r="BC4" s="2">
        <v>20</v>
      </c>
      <c r="BD4" s="2">
        <v>50</v>
      </c>
      <c r="BE4" s="2">
        <v>80</v>
      </c>
      <c r="BF4" s="2">
        <v>90</v>
      </c>
      <c r="BG4" s="2">
        <v>70</v>
      </c>
      <c r="BH4" s="2">
        <v>60</v>
      </c>
      <c r="BI4" s="2">
        <v>80</v>
      </c>
      <c r="BJ4" s="2">
        <v>20</v>
      </c>
      <c r="BK4" s="2">
        <v>20</v>
      </c>
      <c r="BL4" s="2">
        <v>30</v>
      </c>
      <c r="BM4" s="2">
        <v>20</v>
      </c>
      <c r="BN4" s="2">
        <v>100</v>
      </c>
      <c r="BO4" s="2">
        <v>80</v>
      </c>
      <c r="BP4" s="2">
        <v>20</v>
      </c>
      <c r="BQ4" s="2">
        <v>80</v>
      </c>
      <c r="BR4" s="2">
        <v>80</v>
      </c>
      <c r="BS4" s="2">
        <v>90</v>
      </c>
      <c r="BT4" s="2">
        <v>70</v>
      </c>
      <c r="BU4" s="2">
        <v>20</v>
      </c>
      <c r="BV4" s="2">
        <v>90</v>
      </c>
      <c r="BW4" s="2">
        <v>100</v>
      </c>
      <c r="BX4" s="2">
        <v>60</v>
      </c>
      <c r="BY4" s="2">
        <v>20</v>
      </c>
      <c r="BZ4" s="2">
        <v>90</v>
      </c>
      <c r="CA4" s="2">
        <v>90</v>
      </c>
      <c r="CB4" s="2">
        <v>50</v>
      </c>
      <c r="CC4" s="2">
        <v>90</v>
      </c>
      <c r="CD4" s="2">
        <v>50</v>
      </c>
      <c r="CE4" s="2">
        <v>10</v>
      </c>
      <c r="CF4" s="2">
        <v>30</v>
      </c>
      <c r="CG4" s="2">
        <v>80</v>
      </c>
      <c r="CH4" s="2">
        <v>10</v>
      </c>
      <c r="CI4" s="2">
        <v>20</v>
      </c>
      <c r="CJ4" s="2">
        <v>40</v>
      </c>
      <c r="CK4" s="2">
        <v>20</v>
      </c>
      <c r="CL4" s="2">
        <v>40</v>
      </c>
      <c r="CM4" s="2">
        <v>70</v>
      </c>
      <c r="CN4" s="2">
        <v>20</v>
      </c>
      <c r="CO4" s="2">
        <v>80</v>
      </c>
      <c r="CP4" s="2">
        <v>100</v>
      </c>
      <c r="CQ4" s="2">
        <v>80</v>
      </c>
      <c r="CR4" s="2">
        <v>80</v>
      </c>
      <c r="CS4" s="2">
        <v>80</v>
      </c>
      <c r="CT4" s="2">
        <v>60</v>
      </c>
      <c r="CU4" s="2">
        <v>10</v>
      </c>
      <c r="CV4" s="2">
        <v>100</v>
      </c>
      <c r="CW4" s="2">
        <v>30</v>
      </c>
      <c r="CX4" s="2">
        <v>20</v>
      </c>
      <c r="CY4" s="2">
        <v>20</v>
      </c>
      <c r="CZ4" s="2">
        <v>20</v>
      </c>
      <c r="DA4" s="2">
        <v>30</v>
      </c>
      <c r="DB4" s="2">
        <v>20</v>
      </c>
      <c r="DC4" s="2">
        <v>30</v>
      </c>
      <c r="DD4" s="2">
        <v>10</v>
      </c>
      <c r="DE4" s="2">
        <v>60</v>
      </c>
      <c r="DF4" s="2">
        <v>90</v>
      </c>
      <c r="DG4" s="2">
        <v>40</v>
      </c>
      <c r="DH4" s="2">
        <v>30</v>
      </c>
      <c r="DI4" s="2">
        <v>80</v>
      </c>
      <c r="DJ4" s="2">
        <v>80</v>
      </c>
      <c r="DK4" s="2">
        <v>80</v>
      </c>
      <c r="DL4" s="2">
        <v>50</v>
      </c>
      <c r="DM4" s="2">
        <v>50</v>
      </c>
      <c r="DN4" s="2">
        <v>80</v>
      </c>
      <c r="DO4" s="2">
        <v>60</v>
      </c>
      <c r="DP4" s="2">
        <v>40</v>
      </c>
      <c r="DQ4" s="2">
        <v>40</v>
      </c>
      <c r="DR4" s="2">
        <v>100</v>
      </c>
      <c r="DS4" s="2">
        <v>20</v>
      </c>
      <c r="DT4" s="2">
        <v>90</v>
      </c>
      <c r="DU4" s="2">
        <v>20</v>
      </c>
      <c r="DV4" s="2">
        <v>60</v>
      </c>
      <c r="DW4" s="2">
        <v>60</v>
      </c>
      <c r="DX4" s="2">
        <v>20</v>
      </c>
      <c r="DY4" s="2">
        <v>100</v>
      </c>
      <c r="DZ4" s="2">
        <v>10</v>
      </c>
      <c r="EA4" s="2">
        <v>100</v>
      </c>
      <c r="EB4" s="2">
        <v>30</v>
      </c>
      <c r="EC4" s="2">
        <v>70</v>
      </c>
      <c r="ED4" s="2">
        <v>60</v>
      </c>
      <c r="EE4" s="2">
        <v>10</v>
      </c>
      <c r="EF4" s="2">
        <v>30</v>
      </c>
      <c r="EG4" s="2">
        <v>60</v>
      </c>
      <c r="EH4" s="2">
        <v>100</v>
      </c>
      <c r="EI4" s="2">
        <v>100</v>
      </c>
      <c r="EJ4" s="2">
        <v>70</v>
      </c>
      <c r="EK4" s="2">
        <v>10</v>
      </c>
      <c r="EL4" s="2">
        <v>60</v>
      </c>
      <c r="EM4" s="2">
        <v>80</v>
      </c>
      <c r="EN4" s="2">
        <v>20</v>
      </c>
    </row>
    <row r="5" spans="2:144" x14ac:dyDescent="0.3">
      <c r="B5" s="9">
        <v>8.3333333333333301E-2</v>
      </c>
      <c r="C5" s="2">
        <v>60</v>
      </c>
      <c r="D5" s="2">
        <v>40</v>
      </c>
      <c r="E5" s="2">
        <v>20</v>
      </c>
      <c r="F5" s="2">
        <v>70</v>
      </c>
      <c r="G5" s="2">
        <v>50</v>
      </c>
      <c r="H5" s="2">
        <v>40</v>
      </c>
      <c r="I5" s="2">
        <v>70</v>
      </c>
      <c r="J5" s="2">
        <v>40</v>
      </c>
      <c r="K5" s="2">
        <v>20</v>
      </c>
      <c r="L5" s="2">
        <v>50</v>
      </c>
      <c r="M5" s="2">
        <v>80</v>
      </c>
      <c r="N5" s="2">
        <v>70</v>
      </c>
      <c r="O5" s="2">
        <v>20</v>
      </c>
      <c r="P5" s="2">
        <v>10</v>
      </c>
      <c r="Q5" s="2">
        <v>20</v>
      </c>
      <c r="R5" s="2">
        <v>40</v>
      </c>
      <c r="S5" s="2">
        <v>80</v>
      </c>
      <c r="T5" s="2">
        <v>80</v>
      </c>
      <c r="U5" s="2">
        <v>30</v>
      </c>
      <c r="V5" s="2">
        <v>20</v>
      </c>
      <c r="W5" s="2">
        <v>60</v>
      </c>
      <c r="X5" s="2">
        <v>20</v>
      </c>
      <c r="Y5" s="2">
        <v>90</v>
      </c>
      <c r="Z5" s="2">
        <v>20</v>
      </c>
      <c r="AA5" s="2">
        <v>20</v>
      </c>
      <c r="AB5" s="2">
        <v>30</v>
      </c>
      <c r="AC5" s="2">
        <v>50</v>
      </c>
      <c r="AD5" s="2">
        <v>30</v>
      </c>
      <c r="AE5" s="2">
        <v>80</v>
      </c>
      <c r="AF5" s="2">
        <v>70</v>
      </c>
      <c r="AG5" s="2">
        <v>50</v>
      </c>
      <c r="AH5" s="2">
        <v>30</v>
      </c>
      <c r="AI5" s="2">
        <v>90</v>
      </c>
      <c r="AJ5" s="2">
        <v>20</v>
      </c>
      <c r="AK5" s="2">
        <v>90</v>
      </c>
      <c r="AL5" s="2">
        <v>30</v>
      </c>
      <c r="AM5" s="2">
        <v>20</v>
      </c>
      <c r="AN5" s="2">
        <v>30</v>
      </c>
      <c r="AO5" s="2">
        <v>30</v>
      </c>
      <c r="AP5" s="2">
        <v>80</v>
      </c>
      <c r="AQ5" s="2">
        <v>20</v>
      </c>
      <c r="AR5" s="2">
        <v>90</v>
      </c>
      <c r="AS5" s="2">
        <v>100</v>
      </c>
      <c r="AT5" s="2">
        <v>60</v>
      </c>
      <c r="AU5" s="2">
        <v>60</v>
      </c>
      <c r="AV5" s="2">
        <v>30</v>
      </c>
      <c r="AW5" s="2">
        <v>80</v>
      </c>
      <c r="AX5" s="2">
        <v>40</v>
      </c>
      <c r="AY5" s="2">
        <v>20</v>
      </c>
      <c r="AZ5" s="2">
        <v>40</v>
      </c>
      <c r="BA5" s="2">
        <v>70</v>
      </c>
      <c r="BB5" s="2">
        <v>20</v>
      </c>
      <c r="BC5" s="2">
        <v>100</v>
      </c>
      <c r="BD5" s="2">
        <v>70</v>
      </c>
      <c r="BE5" s="2">
        <v>100</v>
      </c>
      <c r="BF5" s="2">
        <v>10</v>
      </c>
      <c r="BG5" s="2">
        <v>30</v>
      </c>
      <c r="BH5" s="2">
        <v>60</v>
      </c>
      <c r="BI5" s="2">
        <v>100</v>
      </c>
      <c r="BJ5" s="2">
        <v>100</v>
      </c>
      <c r="BK5" s="2">
        <v>30</v>
      </c>
      <c r="BL5" s="2">
        <v>30</v>
      </c>
      <c r="BM5" s="2">
        <v>40</v>
      </c>
      <c r="BN5" s="2">
        <v>30</v>
      </c>
      <c r="BO5" s="2">
        <v>100</v>
      </c>
      <c r="BP5" s="2">
        <v>100</v>
      </c>
      <c r="BQ5" s="2">
        <v>70</v>
      </c>
      <c r="BR5" s="2">
        <v>60</v>
      </c>
      <c r="BS5" s="2">
        <v>30</v>
      </c>
      <c r="BT5" s="2">
        <v>100</v>
      </c>
      <c r="BU5" s="2">
        <v>40</v>
      </c>
      <c r="BV5" s="2">
        <v>50</v>
      </c>
      <c r="BW5" s="2">
        <v>30</v>
      </c>
      <c r="BX5" s="2">
        <v>50</v>
      </c>
      <c r="BY5" s="2">
        <v>70</v>
      </c>
      <c r="BZ5" s="2">
        <v>70</v>
      </c>
      <c r="CA5" s="2">
        <v>100</v>
      </c>
      <c r="CB5" s="2">
        <v>50</v>
      </c>
      <c r="CC5" s="2">
        <v>90</v>
      </c>
      <c r="CD5" s="2">
        <v>10</v>
      </c>
      <c r="CE5" s="2">
        <v>20</v>
      </c>
      <c r="CF5" s="2">
        <v>50</v>
      </c>
      <c r="CG5" s="2">
        <v>80</v>
      </c>
      <c r="CH5" s="2">
        <v>20</v>
      </c>
      <c r="CI5" s="2">
        <v>50</v>
      </c>
      <c r="CJ5" s="2">
        <v>20</v>
      </c>
      <c r="CK5" s="2">
        <v>30</v>
      </c>
      <c r="CL5" s="2">
        <v>90</v>
      </c>
      <c r="CM5" s="2">
        <v>20</v>
      </c>
      <c r="CN5" s="2">
        <v>50</v>
      </c>
      <c r="CO5" s="2">
        <v>20</v>
      </c>
      <c r="CP5" s="2">
        <v>20</v>
      </c>
      <c r="CQ5" s="2">
        <v>70</v>
      </c>
      <c r="CR5" s="2">
        <v>90</v>
      </c>
      <c r="CS5" s="2">
        <v>20</v>
      </c>
      <c r="CT5" s="2">
        <v>60</v>
      </c>
      <c r="CU5" s="2">
        <v>50</v>
      </c>
      <c r="CV5" s="2">
        <v>90</v>
      </c>
      <c r="CW5" s="2">
        <v>60</v>
      </c>
      <c r="CX5" s="2">
        <v>100</v>
      </c>
      <c r="CY5" s="2">
        <v>40</v>
      </c>
      <c r="CZ5" s="2">
        <v>30</v>
      </c>
      <c r="DA5" s="2">
        <v>20</v>
      </c>
      <c r="DB5" s="2">
        <v>20</v>
      </c>
      <c r="DC5" s="2">
        <v>90</v>
      </c>
      <c r="DD5" s="2">
        <v>60</v>
      </c>
      <c r="DE5" s="2">
        <v>100</v>
      </c>
      <c r="DF5" s="2">
        <v>10</v>
      </c>
      <c r="DG5" s="2">
        <v>20</v>
      </c>
      <c r="DH5" s="2">
        <v>80</v>
      </c>
      <c r="DI5" s="2">
        <v>20</v>
      </c>
      <c r="DJ5" s="2">
        <v>60</v>
      </c>
      <c r="DK5" s="2">
        <v>20</v>
      </c>
      <c r="DL5" s="2">
        <v>10</v>
      </c>
      <c r="DM5" s="2">
        <v>100</v>
      </c>
      <c r="DN5" s="2">
        <v>60</v>
      </c>
      <c r="DO5" s="2">
        <v>30</v>
      </c>
      <c r="DP5" s="2">
        <v>20</v>
      </c>
      <c r="DQ5" s="2">
        <v>30</v>
      </c>
      <c r="DR5" s="2">
        <v>20</v>
      </c>
      <c r="DS5" s="2">
        <v>20</v>
      </c>
      <c r="DT5" s="2">
        <v>60</v>
      </c>
      <c r="DU5" s="2">
        <v>20</v>
      </c>
      <c r="DV5" s="2">
        <v>60</v>
      </c>
      <c r="DW5" s="2">
        <v>50</v>
      </c>
      <c r="DX5" s="2">
        <v>20</v>
      </c>
      <c r="DY5" s="2">
        <v>10</v>
      </c>
      <c r="DZ5" s="2">
        <v>40</v>
      </c>
      <c r="EA5" s="2">
        <v>20</v>
      </c>
      <c r="EB5" s="2">
        <v>100</v>
      </c>
      <c r="EC5" s="2">
        <v>20</v>
      </c>
      <c r="ED5" s="2">
        <v>70</v>
      </c>
      <c r="EE5" s="2">
        <v>10</v>
      </c>
      <c r="EF5" s="2">
        <v>40</v>
      </c>
      <c r="EG5" s="2">
        <v>60</v>
      </c>
      <c r="EH5" s="2">
        <v>20</v>
      </c>
      <c r="EI5" s="2">
        <v>70</v>
      </c>
      <c r="EJ5" s="2">
        <v>30</v>
      </c>
      <c r="EK5" s="2">
        <v>30</v>
      </c>
      <c r="EL5" s="2">
        <v>80</v>
      </c>
      <c r="EM5" s="2">
        <v>60</v>
      </c>
      <c r="EN5" s="2">
        <v>10</v>
      </c>
    </row>
    <row r="6" spans="2:144" x14ac:dyDescent="0.3">
      <c r="B6" s="9">
        <v>0.125</v>
      </c>
      <c r="C6" s="2">
        <v>80</v>
      </c>
      <c r="D6" s="2">
        <v>40</v>
      </c>
      <c r="E6" s="2">
        <v>20</v>
      </c>
      <c r="F6" s="2">
        <v>100</v>
      </c>
      <c r="G6" s="2">
        <v>40</v>
      </c>
      <c r="H6" s="2">
        <v>30</v>
      </c>
      <c r="I6" s="2">
        <v>60</v>
      </c>
      <c r="J6" s="2">
        <v>80</v>
      </c>
      <c r="K6" s="2">
        <v>60</v>
      </c>
      <c r="L6" s="2">
        <v>90</v>
      </c>
      <c r="M6" s="2">
        <v>100</v>
      </c>
      <c r="N6" s="2">
        <v>30</v>
      </c>
      <c r="O6" s="2">
        <v>10</v>
      </c>
      <c r="P6" s="2">
        <v>40</v>
      </c>
      <c r="Q6" s="2">
        <v>80</v>
      </c>
      <c r="R6" s="2">
        <v>70</v>
      </c>
      <c r="S6" s="2">
        <v>20</v>
      </c>
      <c r="T6" s="2">
        <v>80</v>
      </c>
      <c r="U6" s="2">
        <v>70</v>
      </c>
      <c r="V6" s="2">
        <v>10</v>
      </c>
      <c r="W6" s="2">
        <v>20</v>
      </c>
      <c r="X6" s="2">
        <v>100</v>
      </c>
      <c r="Y6" s="2">
        <v>10</v>
      </c>
      <c r="Z6" s="2">
        <v>20</v>
      </c>
      <c r="AA6" s="2">
        <v>100</v>
      </c>
      <c r="AB6" s="2">
        <v>20</v>
      </c>
      <c r="AC6" s="2">
        <v>100</v>
      </c>
      <c r="AD6" s="2">
        <v>50</v>
      </c>
      <c r="AE6" s="2">
        <v>40</v>
      </c>
      <c r="AF6" s="2">
        <v>20</v>
      </c>
      <c r="AG6" s="2">
        <v>50</v>
      </c>
      <c r="AH6" s="2">
        <v>30</v>
      </c>
      <c r="AI6" s="2">
        <v>70</v>
      </c>
      <c r="AJ6" s="2">
        <v>100</v>
      </c>
      <c r="AK6" s="2">
        <v>10</v>
      </c>
      <c r="AL6" s="2">
        <v>90</v>
      </c>
      <c r="AM6" s="2">
        <v>100</v>
      </c>
      <c r="AN6" s="2">
        <v>10</v>
      </c>
      <c r="AO6" s="2">
        <v>40</v>
      </c>
      <c r="AP6" s="2">
        <v>70</v>
      </c>
      <c r="AQ6" s="2">
        <v>90</v>
      </c>
      <c r="AR6" s="2">
        <v>20</v>
      </c>
      <c r="AS6" s="2">
        <v>60</v>
      </c>
      <c r="AT6" s="2">
        <v>50</v>
      </c>
      <c r="AU6" s="2">
        <v>70</v>
      </c>
      <c r="AV6" s="2">
        <v>80</v>
      </c>
      <c r="AW6" s="2">
        <v>80</v>
      </c>
      <c r="AX6" s="2">
        <v>30</v>
      </c>
      <c r="AY6" s="2">
        <v>100</v>
      </c>
      <c r="AZ6" s="2">
        <v>10</v>
      </c>
      <c r="BA6" s="2">
        <v>30</v>
      </c>
      <c r="BB6" s="2">
        <v>60</v>
      </c>
      <c r="BC6" s="2">
        <v>90</v>
      </c>
      <c r="BD6" s="2">
        <v>90</v>
      </c>
      <c r="BE6" s="2">
        <v>70</v>
      </c>
      <c r="BF6" s="2">
        <v>20</v>
      </c>
      <c r="BG6" s="2">
        <v>20</v>
      </c>
      <c r="BH6" s="2">
        <v>70</v>
      </c>
      <c r="BI6" s="2">
        <v>30</v>
      </c>
      <c r="BJ6" s="2">
        <v>20</v>
      </c>
      <c r="BK6" s="2">
        <v>10</v>
      </c>
      <c r="BL6" s="2">
        <v>20</v>
      </c>
      <c r="BM6" s="2">
        <v>30</v>
      </c>
      <c r="BN6" s="2">
        <v>60</v>
      </c>
      <c r="BO6" s="2">
        <v>30</v>
      </c>
      <c r="BP6" s="2">
        <v>100</v>
      </c>
      <c r="BQ6" s="2">
        <v>10</v>
      </c>
      <c r="BR6" s="2">
        <v>70</v>
      </c>
      <c r="BS6" s="2">
        <v>80</v>
      </c>
      <c r="BT6" s="2">
        <v>30</v>
      </c>
      <c r="BU6" s="2">
        <v>10</v>
      </c>
      <c r="BV6" s="2">
        <v>80</v>
      </c>
      <c r="BW6" s="2">
        <v>60</v>
      </c>
      <c r="BX6" s="2">
        <v>70</v>
      </c>
      <c r="BY6" s="2">
        <v>70</v>
      </c>
      <c r="BZ6" s="2">
        <v>30</v>
      </c>
      <c r="CA6" s="2">
        <v>20</v>
      </c>
      <c r="CB6" s="2">
        <v>10</v>
      </c>
      <c r="CC6" s="2">
        <v>80</v>
      </c>
      <c r="CD6" s="2">
        <v>70</v>
      </c>
      <c r="CE6" s="2">
        <v>80</v>
      </c>
      <c r="CF6" s="2">
        <v>100</v>
      </c>
      <c r="CG6" s="2">
        <v>100</v>
      </c>
      <c r="CH6" s="2">
        <v>60</v>
      </c>
      <c r="CI6" s="2">
        <v>100</v>
      </c>
      <c r="CJ6" s="2">
        <v>20</v>
      </c>
      <c r="CK6" s="2">
        <v>70</v>
      </c>
      <c r="CL6" s="2">
        <v>60</v>
      </c>
      <c r="CM6" s="2">
        <v>50</v>
      </c>
      <c r="CN6" s="2">
        <v>50</v>
      </c>
      <c r="CO6" s="2">
        <v>90</v>
      </c>
      <c r="CP6" s="2">
        <v>30</v>
      </c>
      <c r="CQ6" s="2">
        <v>10</v>
      </c>
      <c r="CR6" s="2">
        <v>20</v>
      </c>
      <c r="CS6" s="2">
        <v>80</v>
      </c>
      <c r="CT6" s="2">
        <v>100</v>
      </c>
      <c r="CU6" s="2">
        <v>60</v>
      </c>
      <c r="CV6" s="2">
        <v>70</v>
      </c>
      <c r="CW6" s="2">
        <v>10</v>
      </c>
      <c r="CX6" s="2">
        <v>100</v>
      </c>
      <c r="CY6" s="2">
        <v>20</v>
      </c>
      <c r="CZ6" s="2">
        <v>50</v>
      </c>
      <c r="DA6" s="2">
        <v>10</v>
      </c>
      <c r="DB6" s="2">
        <v>70</v>
      </c>
      <c r="DC6" s="2">
        <v>80</v>
      </c>
      <c r="DD6" s="2">
        <v>20</v>
      </c>
      <c r="DE6" s="2">
        <v>30</v>
      </c>
      <c r="DF6" s="2">
        <v>10</v>
      </c>
      <c r="DG6" s="2">
        <v>50</v>
      </c>
      <c r="DH6" s="2">
        <v>30</v>
      </c>
      <c r="DI6" s="2">
        <v>90</v>
      </c>
      <c r="DJ6" s="2">
        <v>100</v>
      </c>
      <c r="DK6" s="2">
        <v>80</v>
      </c>
      <c r="DL6" s="2">
        <v>50</v>
      </c>
      <c r="DM6" s="2">
        <v>100</v>
      </c>
      <c r="DN6" s="2">
        <v>100</v>
      </c>
      <c r="DO6" s="2">
        <v>70</v>
      </c>
      <c r="DP6" s="2">
        <v>30</v>
      </c>
      <c r="DQ6" s="2">
        <v>80</v>
      </c>
      <c r="DR6" s="2">
        <v>100</v>
      </c>
      <c r="DS6" s="2">
        <v>60</v>
      </c>
      <c r="DT6" s="2">
        <v>80</v>
      </c>
      <c r="DU6" s="2">
        <v>50</v>
      </c>
      <c r="DV6" s="2">
        <v>90</v>
      </c>
      <c r="DW6" s="2">
        <v>80</v>
      </c>
      <c r="DX6" s="2">
        <v>20</v>
      </c>
      <c r="DY6" s="2">
        <v>10</v>
      </c>
      <c r="DZ6" s="2">
        <v>70</v>
      </c>
      <c r="EA6" s="2">
        <v>10</v>
      </c>
      <c r="EB6" s="2">
        <v>70</v>
      </c>
      <c r="EC6" s="2">
        <v>80</v>
      </c>
      <c r="ED6" s="2">
        <v>50</v>
      </c>
      <c r="EE6" s="2">
        <v>60</v>
      </c>
      <c r="EF6" s="2">
        <v>70</v>
      </c>
      <c r="EG6" s="2">
        <v>10</v>
      </c>
      <c r="EH6" s="2">
        <v>20</v>
      </c>
      <c r="EI6" s="2">
        <v>40</v>
      </c>
      <c r="EJ6" s="2">
        <v>20</v>
      </c>
      <c r="EK6" s="2">
        <v>100</v>
      </c>
      <c r="EL6" s="2">
        <v>30</v>
      </c>
      <c r="EM6" s="2">
        <v>60</v>
      </c>
      <c r="EN6" s="2">
        <v>80</v>
      </c>
    </row>
    <row r="7" spans="2:144" x14ac:dyDescent="0.3">
      <c r="B7" s="9">
        <v>0.16666666666666699</v>
      </c>
      <c r="C7" s="2">
        <v>30</v>
      </c>
      <c r="D7" s="2">
        <v>50</v>
      </c>
      <c r="E7" s="2">
        <v>40</v>
      </c>
      <c r="F7" s="2">
        <v>30</v>
      </c>
      <c r="G7" s="2">
        <v>50</v>
      </c>
      <c r="H7" s="2">
        <v>30</v>
      </c>
      <c r="I7" s="2">
        <v>40</v>
      </c>
      <c r="J7" s="2">
        <v>10</v>
      </c>
      <c r="K7" s="2">
        <v>100</v>
      </c>
      <c r="L7" s="2">
        <v>90</v>
      </c>
      <c r="M7" s="2">
        <v>60</v>
      </c>
      <c r="N7" s="2">
        <v>70</v>
      </c>
      <c r="O7" s="2">
        <v>80</v>
      </c>
      <c r="P7" s="2">
        <v>100</v>
      </c>
      <c r="Q7" s="2">
        <v>60</v>
      </c>
      <c r="R7" s="2">
        <v>30</v>
      </c>
      <c r="S7" s="2">
        <v>100</v>
      </c>
      <c r="T7" s="2">
        <v>20</v>
      </c>
      <c r="U7" s="2">
        <v>80</v>
      </c>
      <c r="V7" s="2">
        <v>20</v>
      </c>
      <c r="W7" s="2">
        <v>80</v>
      </c>
      <c r="X7" s="2">
        <v>20</v>
      </c>
      <c r="Y7" s="2">
        <v>60</v>
      </c>
      <c r="Z7" s="2">
        <v>100</v>
      </c>
      <c r="AA7" s="2">
        <v>50</v>
      </c>
      <c r="AB7" s="2">
        <v>40</v>
      </c>
      <c r="AC7" s="2">
        <v>80</v>
      </c>
      <c r="AD7" s="2">
        <v>20</v>
      </c>
      <c r="AE7" s="2">
        <v>20</v>
      </c>
      <c r="AF7" s="2">
        <v>20</v>
      </c>
      <c r="AG7" s="2">
        <v>70</v>
      </c>
      <c r="AH7" s="2">
        <v>20</v>
      </c>
      <c r="AI7" s="2">
        <v>20</v>
      </c>
      <c r="AJ7" s="2">
        <v>100</v>
      </c>
      <c r="AK7" s="2">
        <v>20</v>
      </c>
      <c r="AL7" s="2">
        <v>70</v>
      </c>
      <c r="AM7" s="2">
        <v>70</v>
      </c>
      <c r="AN7" s="2">
        <v>70</v>
      </c>
      <c r="AO7" s="2">
        <v>20</v>
      </c>
      <c r="AP7" s="2">
        <v>40</v>
      </c>
      <c r="AQ7" s="2">
        <v>50</v>
      </c>
      <c r="AR7" s="2">
        <v>70</v>
      </c>
      <c r="AS7" s="2">
        <v>40</v>
      </c>
      <c r="AT7" s="2">
        <v>70</v>
      </c>
      <c r="AU7" s="2">
        <v>20</v>
      </c>
      <c r="AV7" s="2">
        <v>100</v>
      </c>
      <c r="AW7" s="2">
        <v>50</v>
      </c>
      <c r="AX7" s="2">
        <v>90</v>
      </c>
      <c r="AY7" s="2">
        <v>90</v>
      </c>
      <c r="AZ7" s="2">
        <v>40</v>
      </c>
      <c r="BA7" s="2">
        <v>30</v>
      </c>
      <c r="BB7" s="2">
        <v>90</v>
      </c>
      <c r="BC7" s="2">
        <v>70</v>
      </c>
      <c r="BD7" s="2">
        <v>90</v>
      </c>
      <c r="BE7" s="2">
        <v>90</v>
      </c>
      <c r="BF7" s="2">
        <v>60</v>
      </c>
      <c r="BG7" s="2">
        <v>60</v>
      </c>
      <c r="BH7" s="2">
        <v>20</v>
      </c>
      <c r="BI7" s="2">
        <v>60</v>
      </c>
      <c r="BJ7" s="2">
        <v>60</v>
      </c>
      <c r="BK7" s="2">
        <v>20</v>
      </c>
      <c r="BL7" s="2">
        <v>90</v>
      </c>
      <c r="BM7" s="2">
        <v>20</v>
      </c>
      <c r="BN7" s="2">
        <v>70</v>
      </c>
      <c r="BO7" s="2">
        <v>20</v>
      </c>
      <c r="BP7" s="2">
        <v>50</v>
      </c>
      <c r="BQ7" s="2">
        <v>20</v>
      </c>
      <c r="BR7" s="2">
        <v>70</v>
      </c>
      <c r="BS7" s="2">
        <v>90</v>
      </c>
      <c r="BT7" s="2">
        <v>60</v>
      </c>
      <c r="BU7" s="2">
        <v>20</v>
      </c>
      <c r="BV7" s="2">
        <v>40</v>
      </c>
      <c r="BW7" s="2">
        <v>40</v>
      </c>
      <c r="BX7" s="2">
        <v>70</v>
      </c>
      <c r="BY7" s="2">
        <v>20</v>
      </c>
      <c r="BZ7" s="2">
        <v>90</v>
      </c>
      <c r="CA7" s="2">
        <v>30</v>
      </c>
      <c r="CB7" s="2">
        <v>100</v>
      </c>
      <c r="CC7" s="2">
        <v>60</v>
      </c>
      <c r="CD7" s="2">
        <v>80</v>
      </c>
      <c r="CE7" s="2">
        <v>40</v>
      </c>
      <c r="CF7" s="2">
        <v>50</v>
      </c>
      <c r="CG7" s="2">
        <v>100</v>
      </c>
      <c r="CH7" s="2">
        <v>30</v>
      </c>
      <c r="CI7" s="2">
        <v>80</v>
      </c>
      <c r="CJ7" s="2">
        <v>40</v>
      </c>
      <c r="CK7" s="2">
        <v>100</v>
      </c>
      <c r="CL7" s="2">
        <v>80</v>
      </c>
      <c r="CM7" s="2">
        <v>20</v>
      </c>
      <c r="CN7" s="2">
        <v>60</v>
      </c>
      <c r="CO7" s="2">
        <v>90</v>
      </c>
      <c r="CP7" s="2">
        <v>100</v>
      </c>
      <c r="CQ7" s="2">
        <v>60</v>
      </c>
      <c r="CR7" s="2">
        <v>80</v>
      </c>
      <c r="CS7" s="2">
        <v>50</v>
      </c>
      <c r="CT7" s="2">
        <v>20</v>
      </c>
      <c r="CU7" s="2">
        <v>20</v>
      </c>
      <c r="CV7" s="2">
        <v>100</v>
      </c>
      <c r="CW7" s="2">
        <v>20</v>
      </c>
      <c r="CX7" s="2">
        <v>30</v>
      </c>
      <c r="CY7" s="2">
        <v>30</v>
      </c>
      <c r="CZ7" s="2">
        <v>40</v>
      </c>
      <c r="DA7" s="2">
        <v>70</v>
      </c>
      <c r="DB7" s="2">
        <v>40</v>
      </c>
      <c r="DC7" s="2">
        <v>40</v>
      </c>
      <c r="DD7" s="2">
        <v>70</v>
      </c>
      <c r="DE7" s="2">
        <v>60</v>
      </c>
      <c r="DF7" s="2">
        <v>100</v>
      </c>
      <c r="DG7" s="2">
        <v>70</v>
      </c>
      <c r="DH7" s="2">
        <v>20</v>
      </c>
      <c r="DI7" s="2">
        <v>10</v>
      </c>
      <c r="DJ7" s="2">
        <v>40</v>
      </c>
      <c r="DK7" s="2">
        <v>10</v>
      </c>
      <c r="DL7" s="2">
        <v>40</v>
      </c>
      <c r="DM7" s="2">
        <v>40</v>
      </c>
      <c r="DN7" s="2">
        <v>50</v>
      </c>
      <c r="DO7" s="2">
        <v>30</v>
      </c>
      <c r="DP7" s="2">
        <v>20</v>
      </c>
      <c r="DQ7" s="2">
        <v>50</v>
      </c>
      <c r="DR7" s="2">
        <v>50</v>
      </c>
      <c r="DS7" s="2">
        <v>10</v>
      </c>
      <c r="DT7" s="2">
        <v>40</v>
      </c>
      <c r="DU7" s="2">
        <v>30</v>
      </c>
      <c r="DV7" s="2">
        <v>10</v>
      </c>
      <c r="DW7" s="2">
        <v>70</v>
      </c>
      <c r="DX7" s="2">
        <v>80</v>
      </c>
      <c r="DY7" s="2">
        <v>20</v>
      </c>
      <c r="DZ7" s="2">
        <v>40</v>
      </c>
      <c r="EA7" s="2">
        <v>70</v>
      </c>
      <c r="EB7" s="2">
        <v>80</v>
      </c>
      <c r="EC7" s="2">
        <v>90</v>
      </c>
      <c r="ED7" s="2">
        <v>80</v>
      </c>
      <c r="EE7" s="2">
        <v>20</v>
      </c>
      <c r="EF7" s="2">
        <v>90</v>
      </c>
      <c r="EG7" s="2">
        <v>20</v>
      </c>
      <c r="EH7" s="2">
        <v>20</v>
      </c>
      <c r="EI7" s="2">
        <v>20</v>
      </c>
      <c r="EJ7" s="2">
        <v>30</v>
      </c>
      <c r="EK7" s="2">
        <v>50</v>
      </c>
      <c r="EL7" s="2">
        <v>20</v>
      </c>
      <c r="EM7" s="2">
        <v>90</v>
      </c>
      <c r="EN7" s="2">
        <v>50</v>
      </c>
    </row>
    <row r="8" spans="2:144" x14ac:dyDescent="0.3">
      <c r="B8" s="9">
        <v>0.20833333333333301</v>
      </c>
      <c r="C8" s="2">
        <v>20</v>
      </c>
      <c r="D8" s="2">
        <v>30</v>
      </c>
      <c r="E8" s="2">
        <v>90</v>
      </c>
      <c r="F8" s="2">
        <v>20</v>
      </c>
      <c r="G8" s="2">
        <v>90</v>
      </c>
      <c r="H8" s="2">
        <v>10</v>
      </c>
      <c r="I8" s="2">
        <v>30</v>
      </c>
      <c r="J8" s="2">
        <v>70</v>
      </c>
      <c r="K8" s="2">
        <v>10</v>
      </c>
      <c r="L8" s="2">
        <v>40</v>
      </c>
      <c r="M8" s="2">
        <v>30</v>
      </c>
      <c r="N8" s="2">
        <v>10</v>
      </c>
      <c r="O8" s="2">
        <v>60</v>
      </c>
      <c r="P8" s="2">
        <v>60</v>
      </c>
      <c r="Q8" s="2">
        <v>50</v>
      </c>
      <c r="R8" s="2">
        <v>50</v>
      </c>
      <c r="S8" s="2">
        <v>10</v>
      </c>
      <c r="T8" s="2">
        <v>20</v>
      </c>
      <c r="U8" s="2">
        <v>90</v>
      </c>
      <c r="V8" s="2">
        <v>40</v>
      </c>
      <c r="W8" s="2">
        <v>90</v>
      </c>
      <c r="X8" s="2">
        <v>80</v>
      </c>
      <c r="Y8" s="2">
        <v>20</v>
      </c>
      <c r="Z8" s="2">
        <v>100</v>
      </c>
      <c r="AA8" s="2">
        <v>60</v>
      </c>
      <c r="AB8" s="2">
        <v>30</v>
      </c>
      <c r="AC8" s="2">
        <v>20</v>
      </c>
      <c r="AD8" s="2">
        <v>80</v>
      </c>
      <c r="AE8" s="2">
        <v>40</v>
      </c>
      <c r="AF8" s="2">
        <v>100</v>
      </c>
      <c r="AG8" s="2">
        <v>80</v>
      </c>
      <c r="AH8" s="2">
        <v>90</v>
      </c>
      <c r="AI8" s="2">
        <v>10</v>
      </c>
      <c r="AJ8" s="2">
        <v>80</v>
      </c>
      <c r="AK8" s="2">
        <v>50</v>
      </c>
      <c r="AL8" s="2">
        <v>60</v>
      </c>
      <c r="AM8" s="2">
        <v>70</v>
      </c>
      <c r="AN8" s="2">
        <v>90</v>
      </c>
      <c r="AO8" s="2">
        <v>60</v>
      </c>
      <c r="AP8" s="2">
        <v>90</v>
      </c>
      <c r="AQ8" s="2">
        <v>40</v>
      </c>
      <c r="AR8" s="2">
        <v>20</v>
      </c>
      <c r="AS8" s="2">
        <v>90</v>
      </c>
      <c r="AT8" s="2">
        <v>60</v>
      </c>
      <c r="AU8" s="2">
        <v>10</v>
      </c>
      <c r="AV8" s="2">
        <v>100</v>
      </c>
      <c r="AW8" s="2">
        <v>60</v>
      </c>
      <c r="AX8" s="2">
        <v>10</v>
      </c>
      <c r="AY8" s="2">
        <v>10</v>
      </c>
      <c r="AZ8" s="2">
        <v>20</v>
      </c>
      <c r="BA8" s="2">
        <v>90</v>
      </c>
      <c r="BB8" s="2">
        <v>20</v>
      </c>
      <c r="BC8" s="2">
        <v>80</v>
      </c>
      <c r="BD8" s="2">
        <v>60</v>
      </c>
      <c r="BE8" s="2">
        <v>40</v>
      </c>
      <c r="BF8" s="2">
        <v>50</v>
      </c>
      <c r="BG8" s="2">
        <v>60</v>
      </c>
      <c r="BH8" s="2">
        <v>20</v>
      </c>
      <c r="BI8" s="2">
        <v>30</v>
      </c>
      <c r="BJ8" s="2">
        <v>60</v>
      </c>
      <c r="BK8" s="2">
        <v>30</v>
      </c>
      <c r="BL8" s="2">
        <v>10</v>
      </c>
      <c r="BM8" s="2">
        <v>70</v>
      </c>
      <c r="BN8" s="2">
        <v>100</v>
      </c>
      <c r="BO8" s="2">
        <v>50</v>
      </c>
      <c r="BP8" s="2">
        <v>50</v>
      </c>
      <c r="BQ8" s="2">
        <v>30</v>
      </c>
      <c r="BR8" s="2">
        <v>10</v>
      </c>
      <c r="BS8" s="2">
        <v>10</v>
      </c>
      <c r="BT8" s="2">
        <v>90</v>
      </c>
      <c r="BU8" s="2">
        <v>60</v>
      </c>
      <c r="BV8" s="2">
        <v>20</v>
      </c>
      <c r="BW8" s="2">
        <v>60</v>
      </c>
      <c r="BX8" s="2">
        <v>40</v>
      </c>
      <c r="BY8" s="2">
        <v>90</v>
      </c>
      <c r="BZ8" s="2">
        <v>90</v>
      </c>
      <c r="CA8" s="2">
        <v>90</v>
      </c>
      <c r="CB8" s="2">
        <v>30</v>
      </c>
      <c r="CC8" s="2">
        <v>20</v>
      </c>
      <c r="CD8" s="2">
        <v>20</v>
      </c>
      <c r="CE8" s="2">
        <v>40</v>
      </c>
      <c r="CF8" s="2">
        <v>60</v>
      </c>
      <c r="CG8" s="2">
        <v>10</v>
      </c>
      <c r="CH8" s="2">
        <v>40</v>
      </c>
      <c r="CI8" s="2">
        <v>20</v>
      </c>
      <c r="CJ8" s="2">
        <v>90</v>
      </c>
      <c r="CK8" s="2">
        <v>60</v>
      </c>
      <c r="CL8" s="2">
        <v>10</v>
      </c>
      <c r="CM8" s="2">
        <v>80</v>
      </c>
      <c r="CN8" s="2">
        <v>90</v>
      </c>
      <c r="CO8" s="2">
        <v>40</v>
      </c>
      <c r="CP8" s="2">
        <v>20</v>
      </c>
      <c r="CQ8" s="2">
        <v>100</v>
      </c>
      <c r="CR8" s="2">
        <v>90</v>
      </c>
      <c r="CS8" s="2">
        <v>70</v>
      </c>
      <c r="CT8" s="2">
        <v>80</v>
      </c>
      <c r="CU8" s="2">
        <v>60</v>
      </c>
      <c r="CV8" s="2">
        <v>40</v>
      </c>
      <c r="CW8" s="2">
        <v>90</v>
      </c>
      <c r="CX8" s="2">
        <v>20</v>
      </c>
      <c r="CY8" s="2">
        <v>90</v>
      </c>
      <c r="CZ8" s="2">
        <v>90</v>
      </c>
      <c r="DA8" s="2">
        <v>80</v>
      </c>
      <c r="DB8" s="2">
        <v>10</v>
      </c>
      <c r="DC8" s="2">
        <v>80</v>
      </c>
      <c r="DD8" s="2">
        <v>70</v>
      </c>
      <c r="DE8" s="2">
        <v>30</v>
      </c>
      <c r="DF8" s="2">
        <v>10</v>
      </c>
      <c r="DG8" s="2">
        <v>70</v>
      </c>
      <c r="DH8" s="2">
        <v>20</v>
      </c>
      <c r="DI8" s="2">
        <v>20</v>
      </c>
      <c r="DJ8" s="2">
        <v>70</v>
      </c>
      <c r="DK8" s="2">
        <v>10</v>
      </c>
      <c r="DL8" s="2">
        <v>90</v>
      </c>
      <c r="DM8" s="2">
        <v>20</v>
      </c>
      <c r="DN8" s="2">
        <v>20</v>
      </c>
      <c r="DO8" s="2">
        <v>10</v>
      </c>
      <c r="DP8" s="2">
        <v>10</v>
      </c>
      <c r="DQ8" s="2">
        <v>20</v>
      </c>
      <c r="DR8" s="2">
        <v>90</v>
      </c>
      <c r="DS8" s="2">
        <v>50</v>
      </c>
      <c r="DT8" s="2">
        <v>70</v>
      </c>
      <c r="DU8" s="2">
        <v>80</v>
      </c>
      <c r="DV8" s="2">
        <v>80</v>
      </c>
      <c r="DW8" s="2">
        <v>90</v>
      </c>
      <c r="DX8" s="2">
        <v>20</v>
      </c>
      <c r="DY8" s="2">
        <v>90</v>
      </c>
      <c r="DZ8" s="2">
        <v>50</v>
      </c>
      <c r="EA8" s="2">
        <v>50</v>
      </c>
      <c r="EB8" s="2">
        <v>80</v>
      </c>
      <c r="EC8" s="2">
        <v>10</v>
      </c>
      <c r="ED8" s="2">
        <v>50</v>
      </c>
      <c r="EE8" s="2">
        <v>20</v>
      </c>
      <c r="EF8" s="2">
        <v>40</v>
      </c>
      <c r="EG8" s="2">
        <v>20</v>
      </c>
      <c r="EH8" s="2">
        <v>20</v>
      </c>
      <c r="EI8" s="2">
        <v>20</v>
      </c>
      <c r="EJ8" s="2">
        <v>10</v>
      </c>
      <c r="EK8" s="2">
        <v>30</v>
      </c>
      <c r="EL8" s="2">
        <v>50</v>
      </c>
      <c r="EM8" s="2">
        <v>30</v>
      </c>
      <c r="EN8" s="2">
        <v>20</v>
      </c>
    </row>
    <row r="9" spans="2:144" x14ac:dyDescent="0.3">
      <c r="B9" s="9">
        <v>0.25</v>
      </c>
      <c r="C9" s="2">
        <v>20</v>
      </c>
      <c r="D9" s="2">
        <v>90</v>
      </c>
      <c r="E9" s="2">
        <v>80</v>
      </c>
      <c r="F9" s="2">
        <v>100</v>
      </c>
      <c r="G9" s="2">
        <v>90</v>
      </c>
      <c r="H9" s="2">
        <v>60</v>
      </c>
      <c r="I9" s="2">
        <v>20</v>
      </c>
      <c r="J9" s="2">
        <v>10</v>
      </c>
      <c r="K9" s="2">
        <v>80</v>
      </c>
      <c r="L9" s="2">
        <v>90</v>
      </c>
      <c r="M9" s="2">
        <v>70</v>
      </c>
      <c r="N9" s="2">
        <v>100</v>
      </c>
      <c r="O9" s="2">
        <v>20</v>
      </c>
      <c r="P9" s="2">
        <v>60</v>
      </c>
      <c r="Q9" s="2">
        <v>80</v>
      </c>
      <c r="R9" s="2">
        <v>70</v>
      </c>
      <c r="S9" s="2">
        <v>70</v>
      </c>
      <c r="T9" s="2">
        <v>80</v>
      </c>
      <c r="U9" s="2">
        <v>60</v>
      </c>
      <c r="V9" s="2">
        <v>20</v>
      </c>
      <c r="W9" s="2">
        <v>50</v>
      </c>
      <c r="X9" s="2">
        <v>90</v>
      </c>
      <c r="Y9" s="2">
        <v>10</v>
      </c>
      <c r="Z9" s="2">
        <v>60</v>
      </c>
      <c r="AA9" s="2">
        <v>20</v>
      </c>
      <c r="AB9" s="2">
        <v>20</v>
      </c>
      <c r="AC9" s="2">
        <v>100</v>
      </c>
      <c r="AD9" s="2">
        <v>20</v>
      </c>
      <c r="AE9" s="2">
        <v>30</v>
      </c>
      <c r="AF9" s="2">
        <v>30</v>
      </c>
      <c r="AG9" s="2">
        <v>80</v>
      </c>
      <c r="AH9" s="2">
        <v>10</v>
      </c>
      <c r="AI9" s="2">
        <v>50</v>
      </c>
      <c r="AJ9" s="2">
        <v>40</v>
      </c>
      <c r="AK9" s="2">
        <v>40</v>
      </c>
      <c r="AL9" s="2">
        <v>30</v>
      </c>
      <c r="AM9" s="2">
        <v>20</v>
      </c>
      <c r="AN9" s="2">
        <v>10</v>
      </c>
      <c r="AO9" s="2">
        <v>100</v>
      </c>
      <c r="AP9" s="2">
        <v>70</v>
      </c>
      <c r="AQ9" s="2">
        <v>100</v>
      </c>
      <c r="AR9" s="2">
        <v>30</v>
      </c>
      <c r="AS9" s="2">
        <v>80</v>
      </c>
      <c r="AT9" s="2">
        <v>100</v>
      </c>
      <c r="AU9" s="2">
        <v>10</v>
      </c>
      <c r="AV9" s="2">
        <v>80</v>
      </c>
      <c r="AW9" s="2">
        <v>20</v>
      </c>
      <c r="AX9" s="2">
        <v>50</v>
      </c>
      <c r="AY9" s="2">
        <v>40</v>
      </c>
      <c r="AZ9" s="2">
        <v>20</v>
      </c>
      <c r="BA9" s="2">
        <v>20</v>
      </c>
      <c r="BB9" s="2">
        <v>20</v>
      </c>
      <c r="BC9" s="2">
        <v>80</v>
      </c>
      <c r="BD9" s="2">
        <v>100</v>
      </c>
      <c r="BE9" s="2">
        <v>90</v>
      </c>
      <c r="BF9" s="2">
        <v>90</v>
      </c>
      <c r="BG9" s="2">
        <v>20</v>
      </c>
      <c r="BH9" s="2">
        <v>60</v>
      </c>
      <c r="BI9" s="2">
        <v>20</v>
      </c>
      <c r="BJ9" s="2">
        <v>100</v>
      </c>
      <c r="BK9" s="2">
        <v>50</v>
      </c>
      <c r="BL9" s="2">
        <v>70</v>
      </c>
      <c r="BM9" s="2">
        <v>20</v>
      </c>
      <c r="BN9" s="2">
        <v>70</v>
      </c>
      <c r="BO9" s="2">
        <v>70</v>
      </c>
      <c r="BP9" s="2">
        <v>40</v>
      </c>
      <c r="BQ9" s="2">
        <v>100</v>
      </c>
      <c r="BR9" s="2">
        <v>70</v>
      </c>
      <c r="BS9" s="2">
        <v>10</v>
      </c>
      <c r="BT9" s="2">
        <v>50</v>
      </c>
      <c r="BU9" s="2">
        <v>20</v>
      </c>
      <c r="BV9" s="2">
        <v>20</v>
      </c>
      <c r="BW9" s="2">
        <v>10</v>
      </c>
      <c r="BX9" s="2">
        <v>10</v>
      </c>
      <c r="BY9" s="2">
        <v>100</v>
      </c>
      <c r="BZ9" s="2">
        <v>70</v>
      </c>
      <c r="CA9" s="2">
        <v>20</v>
      </c>
      <c r="CB9" s="2">
        <v>20</v>
      </c>
      <c r="CC9" s="2">
        <v>50</v>
      </c>
      <c r="CD9" s="2">
        <v>90</v>
      </c>
      <c r="CE9" s="2">
        <v>90</v>
      </c>
      <c r="CF9" s="2">
        <v>10</v>
      </c>
      <c r="CG9" s="2">
        <v>70</v>
      </c>
      <c r="CH9" s="2">
        <v>80</v>
      </c>
      <c r="CI9" s="2">
        <v>100</v>
      </c>
      <c r="CJ9" s="2">
        <v>20</v>
      </c>
      <c r="CK9" s="2">
        <v>20</v>
      </c>
      <c r="CL9" s="2">
        <v>10</v>
      </c>
      <c r="CM9" s="2">
        <v>20</v>
      </c>
      <c r="CN9" s="2">
        <v>10</v>
      </c>
      <c r="CO9" s="2">
        <v>20</v>
      </c>
      <c r="CP9" s="2">
        <v>90</v>
      </c>
      <c r="CQ9" s="2">
        <v>100</v>
      </c>
      <c r="CR9" s="2">
        <v>50</v>
      </c>
      <c r="CS9" s="2">
        <v>20</v>
      </c>
      <c r="CT9" s="2">
        <v>80</v>
      </c>
      <c r="CU9" s="2">
        <v>90</v>
      </c>
      <c r="CV9" s="2">
        <v>100</v>
      </c>
      <c r="CW9" s="2">
        <v>100</v>
      </c>
      <c r="CX9" s="2">
        <v>50</v>
      </c>
      <c r="CY9" s="2">
        <v>50</v>
      </c>
      <c r="CZ9" s="2">
        <v>90</v>
      </c>
      <c r="DA9" s="2">
        <v>90</v>
      </c>
      <c r="DB9" s="2">
        <v>20</v>
      </c>
      <c r="DC9" s="2">
        <v>90</v>
      </c>
      <c r="DD9" s="2">
        <v>20</v>
      </c>
      <c r="DE9" s="2">
        <v>20</v>
      </c>
      <c r="DF9" s="2">
        <v>30</v>
      </c>
      <c r="DG9" s="2">
        <v>30</v>
      </c>
      <c r="DH9" s="2">
        <v>50</v>
      </c>
      <c r="DI9" s="2">
        <v>60</v>
      </c>
      <c r="DJ9" s="2">
        <v>20</v>
      </c>
      <c r="DK9" s="2">
        <v>60</v>
      </c>
      <c r="DL9" s="2">
        <v>30</v>
      </c>
      <c r="DM9" s="2">
        <v>20</v>
      </c>
      <c r="DN9" s="2">
        <v>10</v>
      </c>
      <c r="DO9" s="2">
        <v>70</v>
      </c>
      <c r="DP9" s="2">
        <v>90</v>
      </c>
      <c r="DQ9" s="2">
        <v>20</v>
      </c>
      <c r="DR9" s="2">
        <v>60</v>
      </c>
      <c r="DS9" s="2">
        <v>60</v>
      </c>
      <c r="DT9" s="2">
        <v>20</v>
      </c>
      <c r="DU9" s="2">
        <v>80</v>
      </c>
      <c r="DV9" s="2">
        <v>70</v>
      </c>
      <c r="DW9" s="2">
        <v>70</v>
      </c>
      <c r="DX9" s="2">
        <v>80</v>
      </c>
      <c r="DY9" s="2">
        <v>30</v>
      </c>
      <c r="DZ9" s="2">
        <v>30</v>
      </c>
      <c r="EA9" s="2">
        <v>80</v>
      </c>
      <c r="EB9" s="2">
        <v>20</v>
      </c>
      <c r="EC9" s="2">
        <v>90</v>
      </c>
      <c r="ED9" s="2">
        <v>90</v>
      </c>
      <c r="EE9" s="2">
        <v>80</v>
      </c>
      <c r="EF9" s="2">
        <v>80</v>
      </c>
      <c r="EG9" s="2">
        <v>30</v>
      </c>
      <c r="EH9" s="2">
        <v>50</v>
      </c>
      <c r="EI9" s="2">
        <v>80</v>
      </c>
      <c r="EJ9" s="2">
        <v>100</v>
      </c>
      <c r="EK9" s="2">
        <v>20</v>
      </c>
      <c r="EL9" s="2">
        <v>70</v>
      </c>
      <c r="EM9" s="2">
        <v>60</v>
      </c>
      <c r="EN9" s="2">
        <v>90</v>
      </c>
    </row>
    <row r="10" spans="2:144" x14ac:dyDescent="0.3">
      <c r="B10" s="9">
        <v>0.29166666666666702</v>
      </c>
      <c r="C10" s="2">
        <v>30</v>
      </c>
      <c r="D10" s="2">
        <v>20</v>
      </c>
      <c r="E10" s="2">
        <v>20</v>
      </c>
      <c r="F10" s="2">
        <v>90</v>
      </c>
      <c r="G10" s="2">
        <v>60</v>
      </c>
      <c r="H10" s="2">
        <v>10</v>
      </c>
      <c r="I10" s="2">
        <v>60</v>
      </c>
      <c r="J10" s="2">
        <v>30</v>
      </c>
      <c r="K10" s="2">
        <v>50</v>
      </c>
      <c r="L10" s="2">
        <v>80</v>
      </c>
      <c r="M10" s="2">
        <v>80</v>
      </c>
      <c r="N10" s="2">
        <v>10</v>
      </c>
      <c r="O10" s="2">
        <v>50</v>
      </c>
      <c r="P10" s="2">
        <v>70</v>
      </c>
      <c r="Q10" s="2">
        <v>80</v>
      </c>
      <c r="R10" s="2">
        <v>20</v>
      </c>
      <c r="S10" s="2">
        <v>60</v>
      </c>
      <c r="T10" s="2">
        <v>50</v>
      </c>
      <c r="U10" s="2">
        <v>40</v>
      </c>
      <c r="V10" s="2">
        <v>100</v>
      </c>
      <c r="W10" s="2">
        <v>50</v>
      </c>
      <c r="X10" s="2">
        <v>30</v>
      </c>
      <c r="Y10" s="2">
        <v>10</v>
      </c>
      <c r="Z10" s="2">
        <v>30</v>
      </c>
      <c r="AA10" s="2">
        <v>20</v>
      </c>
      <c r="AB10" s="2">
        <v>90</v>
      </c>
      <c r="AC10" s="2">
        <v>50</v>
      </c>
      <c r="AD10" s="2">
        <v>40</v>
      </c>
      <c r="AE10" s="2">
        <v>10</v>
      </c>
      <c r="AF10" s="2">
        <v>80</v>
      </c>
      <c r="AG10" s="2">
        <v>50</v>
      </c>
      <c r="AH10" s="2">
        <v>80</v>
      </c>
      <c r="AI10" s="2">
        <v>80</v>
      </c>
      <c r="AJ10" s="2">
        <v>70</v>
      </c>
      <c r="AK10" s="2">
        <v>20</v>
      </c>
      <c r="AL10" s="2">
        <v>20</v>
      </c>
      <c r="AM10" s="2">
        <v>20</v>
      </c>
      <c r="AN10" s="2">
        <v>80</v>
      </c>
      <c r="AO10" s="2">
        <v>80</v>
      </c>
      <c r="AP10" s="2">
        <v>20</v>
      </c>
      <c r="AQ10" s="2">
        <v>90</v>
      </c>
      <c r="AR10" s="2">
        <v>30</v>
      </c>
      <c r="AS10" s="2">
        <v>20</v>
      </c>
      <c r="AT10" s="2">
        <v>20</v>
      </c>
      <c r="AU10" s="2">
        <v>100</v>
      </c>
      <c r="AV10" s="2">
        <v>70</v>
      </c>
      <c r="AW10" s="2">
        <v>50</v>
      </c>
      <c r="AX10" s="2">
        <v>70</v>
      </c>
      <c r="AY10" s="2">
        <v>80</v>
      </c>
      <c r="AZ10" s="2">
        <v>60</v>
      </c>
      <c r="BA10" s="2">
        <v>70</v>
      </c>
      <c r="BB10" s="2">
        <v>30</v>
      </c>
      <c r="BC10" s="2">
        <v>40</v>
      </c>
      <c r="BD10" s="2">
        <v>10</v>
      </c>
      <c r="BE10" s="2">
        <v>30</v>
      </c>
      <c r="BF10" s="2">
        <v>40</v>
      </c>
      <c r="BG10" s="2">
        <v>10</v>
      </c>
      <c r="BH10" s="2">
        <v>100</v>
      </c>
      <c r="BI10" s="2">
        <v>10</v>
      </c>
      <c r="BJ10" s="2">
        <v>100</v>
      </c>
      <c r="BK10" s="2">
        <v>30</v>
      </c>
      <c r="BL10" s="2">
        <v>50</v>
      </c>
      <c r="BM10" s="2">
        <v>40</v>
      </c>
      <c r="BN10" s="2">
        <v>40</v>
      </c>
      <c r="BO10" s="2">
        <v>60</v>
      </c>
      <c r="BP10" s="2">
        <v>80</v>
      </c>
      <c r="BQ10" s="2">
        <v>70</v>
      </c>
      <c r="BR10" s="2">
        <v>70</v>
      </c>
      <c r="BS10" s="2">
        <v>60</v>
      </c>
      <c r="BT10" s="2">
        <v>80</v>
      </c>
      <c r="BU10" s="2">
        <v>100</v>
      </c>
      <c r="BV10" s="2">
        <v>20</v>
      </c>
      <c r="BW10" s="2">
        <v>80</v>
      </c>
      <c r="BX10" s="2">
        <v>80</v>
      </c>
      <c r="BY10" s="2">
        <v>70</v>
      </c>
      <c r="BZ10" s="2">
        <v>50</v>
      </c>
      <c r="CA10" s="2">
        <v>20</v>
      </c>
      <c r="CB10" s="2">
        <v>70</v>
      </c>
      <c r="CC10" s="2">
        <v>90</v>
      </c>
      <c r="CD10" s="2">
        <v>20</v>
      </c>
      <c r="CE10" s="2">
        <v>70</v>
      </c>
      <c r="CF10" s="2">
        <v>30</v>
      </c>
      <c r="CG10" s="2">
        <v>80</v>
      </c>
      <c r="CH10" s="2">
        <v>100</v>
      </c>
      <c r="CI10" s="2">
        <v>90</v>
      </c>
      <c r="CJ10" s="2">
        <v>20</v>
      </c>
      <c r="CK10" s="2">
        <v>60</v>
      </c>
      <c r="CL10" s="2">
        <v>40</v>
      </c>
      <c r="CM10" s="2">
        <v>70</v>
      </c>
      <c r="CN10" s="2">
        <v>80</v>
      </c>
      <c r="CO10" s="2">
        <v>30</v>
      </c>
      <c r="CP10" s="2">
        <v>80</v>
      </c>
      <c r="CQ10" s="2">
        <v>80</v>
      </c>
      <c r="CR10" s="2">
        <v>40</v>
      </c>
      <c r="CS10" s="2">
        <v>20</v>
      </c>
      <c r="CT10" s="2">
        <v>90</v>
      </c>
      <c r="CU10" s="2">
        <v>30</v>
      </c>
      <c r="CV10" s="2">
        <v>30</v>
      </c>
      <c r="CW10" s="2">
        <v>90</v>
      </c>
      <c r="CX10" s="2">
        <v>40</v>
      </c>
      <c r="CY10" s="2">
        <v>80</v>
      </c>
      <c r="CZ10" s="2">
        <v>50</v>
      </c>
      <c r="DA10" s="2">
        <v>50</v>
      </c>
      <c r="DB10" s="2">
        <v>40</v>
      </c>
      <c r="DC10" s="2">
        <v>90</v>
      </c>
      <c r="DD10" s="2">
        <v>30</v>
      </c>
      <c r="DE10" s="2">
        <v>100</v>
      </c>
      <c r="DF10" s="2">
        <v>40</v>
      </c>
      <c r="DG10" s="2">
        <v>70</v>
      </c>
      <c r="DH10" s="2">
        <v>40</v>
      </c>
      <c r="DI10" s="2">
        <v>20</v>
      </c>
      <c r="DJ10" s="2">
        <v>20</v>
      </c>
      <c r="DK10" s="2">
        <v>20</v>
      </c>
      <c r="DL10" s="2">
        <v>50</v>
      </c>
      <c r="DM10" s="2">
        <v>30</v>
      </c>
      <c r="DN10" s="2">
        <v>70</v>
      </c>
      <c r="DO10" s="2">
        <v>70</v>
      </c>
      <c r="DP10" s="2">
        <v>50</v>
      </c>
      <c r="DQ10" s="2">
        <v>50</v>
      </c>
      <c r="DR10" s="2">
        <v>70</v>
      </c>
      <c r="DS10" s="2">
        <v>100</v>
      </c>
      <c r="DT10" s="2">
        <v>20</v>
      </c>
      <c r="DU10" s="2">
        <v>100</v>
      </c>
      <c r="DV10" s="2">
        <v>90</v>
      </c>
      <c r="DW10" s="2">
        <v>70</v>
      </c>
      <c r="DX10" s="2">
        <v>50</v>
      </c>
      <c r="DY10" s="2">
        <v>100</v>
      </c>
      <c r="DZ10" s="2">
        <v>20</v>
      </c>
      <c r="EA10" s="2">
        <v>40</v>
      </c>
      <c r="EB10" s="2">
        <v>80</v>
      </c>
      <c r="EC10" s="2">
        <v>90</v>
      </c>
      <c r="ED10" s="2">
        <v>30</v>
      </c>
      <c r="EE10" s="2">
        <v>90</v>
      </c>
      <c r="EF10" s="2">
        <v>60</v>
      </c>
      <c r="EG10" s="2">
        <v>40</v>
      </c>
      <c r="EH10" s="2">
        <v>50</v>
      </c>
      <c r="EI10" s="2">
        <v>60</v>
      </c>
      <c r="EJ10" s="2">
        <v>40</v>
      </c>
      <c r="EK10" s="2">
        <v>30</v>
      </c>
      <c r="EL10" s="2">
        <v>60</v>
      </c>
      <c r="EM10" s="2">
        <v>20</v>
      </c>
      <c r="EN10" s="2">
        <v>30</v>
      </c>
    </row>
    <row r="11" spans="2:144" x14ac:dyDescent="0.3">
      <c r="B11" s="9">
        <v>0.33333333333333298</v>
      </c>
      <c r="C11" s="2">
        <v>90</v>
      </c>
      <c r="D11" s="2">
        <v>20</v>
      </c>
      <c r="E11" s="2">
        <v>30</v>
      </c>
      <c r="F11" s="2">
        <v>50</v>
      </c>
      <c r="G11" s="2">
        <v>50</v>
      </c>
      <c r="H11" s="2">
        <v>70</v>
      </c>
      <c r="I11" s="2">
        <v>50</v>
      </c>
      <c r="J11" s="2">
        <v>80</v>
      </c>
      <c r="K11" s="2">
        <v>10</v>
      </c>
      <c r="L11" s="2">
        <v>20</v>
      </c>
      <c r="M11" s="2">
        <v>80</v>
      </c>
      <c r="N11" s="2">
        <v>80</v>
      </c>
      <c r="O11" s="2">
        <v>90</v>
      </c>
      <c r="P11" s="2">
        <v>40</v>
      </c>
      <c r="Q11" s="2">
        <v>20</v>
      </c>
      <c r="R11" s="2">
        <v>40</v>
      </c>
      <c r="S11" s="2">
        <v>50</v>
      </c>
      <c r="T11" s="2">
        <v>70</v>
      </c>
      <c r="U11" s="2">
        <v>10</v>
      </c>
      <c r="V11" s="2">
        <v>70</v>
      </c>
      <c r="W11" s="2">
        <v>60</v>
      </c>
      <c r="X11" s="2">
        <v>10</v>
      </c>
      <c r="Y11" s="2">
        <v>80</v>
      </c>
      <c r="Z11" s="2">
        <v>40</v>
      </c>
      <c r="AA11" s="2">
        <v>30</v>
      </c>
      <c r="AB11" s="2">
        <v>70</v>
      </c>
      <c r="AC11" s="2">
        <v>10</v>
      </c>
      <c r="AD11" s="2">
        <v>40</v>
      </c>
      <c r="AE11" s="2">
        <v>30</v>
      </c>
      <c r="AF11" s="2">
        <v>20</v>
      </c>
      <c r="AG11" s="2">
        <v>20</v>
      </c>
      <c r="AH11" s="2">
        <v>60</v>
      </c>
      <c r="AI11" s="2">
        <v>70</v>
      </c>
      <c r="AJ11" s="2">
        <v>20</v>
      </c>
      <c r="AK11" s="2">
        <v>20</v>
      </c>
      <c r="AL11" s="2">
        <v>10</v>
      </c>
      <c r="AM11" s="2">
        <v>70</v>
      </c>
      <c r="AN11" s="2">
        <v>100</v>
      </c>
      <c r="AO11" s="2">
        <v>70</v>
      </c>
      <c r="AP11" s="2">
        <v>30</v>
      </c>
      <c r="AQ11" s="2">
        <v>30</v>
      </c>
      <c r="AR11" s="2">
        <v>60</v>
      </c>
      <c r="AS11" s="2">
        <v>40</v>
      </c>
      <c r="AT11" s="2">
        <v>20</v>
      </c>
      <c r="AU11" s="2">
        <v>100</v>
      </c>
      <c r="AV11" s="2">
        <v>70</v>
      </c>
      <c r="AW11" s="2">
        <v>40</v>
      </c>
      <c r="AX11" s="2">
        <v>40</v>
      </c>
      <c r="AY11" s="2">
        <v>70</v>
      </c>
      <c r="AZ11" s="2">
        <v>20</v>
      </c>
      <c r="BA11" s="2">
        <v>70</v>
      </c>
      <c r="BB11" s="2">
        <v>60</v>
      </c>
      <c r="BC11" s="2">
        <v>50</v>
      </c>
      <c r="BD11" s="2">
        <v>40</v>
      </c>
      <c r="BE11" s="2">
        <v>70</v>
      </c>
      <c r="BF11" s="2">
        <v>20</v>
      </c>
      <c r="BG11" s="2">
        <v>60</v>
      </c>
      <c r="BH11" s="2">
        <v>60</v>
      </c>
      <c r="BI11" s="2">
        <v>30</v>
      </c>
      <c r="BJ11" s="2">
        <v>30</v>
      </c>
      <c r="BK11" s="2">
        <v>30</v>
      </c>
      <c r="BL11" s="2">
        <v>100</v>
      </c>
      <c r="BM11" s="2">
        <v>90</v>
      </c>
      <c r="BN11" s="2">
        <v>80</v>
      </c>
      <c r="BO11" s="2">
        <v>70</v>
      </c>
      <c r="BP11" s="2">
        <v>40</v>
      </c>
      <c r="BQ11" s="2">
        <v>20</v>
      </c>
      <c r="BR11" s="2">
        <v>40</v>
      </c>
      <c r="BS11" s="2">
        <v>60</v>
      </c>
      <c r="BT11" s="2">
        <v>40</v>
      </c>
      <c r="BU11" s="2">
        <v>70</v>
      </c>
      <c r="BV11" s="2">
        <v>60</v>
      </c>
      <c r="BW11" s="2">
        <v>100</v>
      </c>
      <c r="BX11" s="2">
        <v>30</v>
      </c>
      <c r="BY11" s="2">
        <v>10</v>
      </c>
      <c r="BZ11" s="2">
        <v>20</v>
      </c>
      <c r="CA11" s="2">
        <v>40</v>
      </c>
      <c r="CB11" s="2">
        <v>10</v>
      </c>
      <c r="CC11" s="2">
        <v>20</v>
      </c>
      <c r="CD11" s="2">
        <v>60</v>
      </c>
      <c r="CE11" s="2">
        <v>30</v>
      </c>
      <c r="CF11" s="2">
        <v>80</v>
      </c>
      <c r="CG11" s="2">
        <v>50</v>
      </c>
      <c r="CH11" s="2">
        <v>20</v>
      </c>
      <c r="CI11" s="2">
        <v>80</v>
      </c>
      <c r="CJ11" s="2">
        <v>80</v>
      </c>
      <c r="CK11" s="2">
        <v>30</v>
      </c>
      <c r="CL11" s="2">
        <v>20</v>
      </c>
      <c r="CM11" s="2">
        <v>40</v>
      </c>
      <c r="CN11" s="2">
        <v>90</v>
      </c>
      <c r="CO11" s="2">
        <v>90</v>
      </c>
      <c r="CP11" s="2">
        <v>70</v>
      </c>
      <c r="CQ11" s="2">
        <v>30</v>
      </c>
      <c r="CR11" s="2">
        <v>30</v>
      </c>
      <c r="CS11" s="2">
        <v>50</v>
      </c>
      <c r="CT11" s="2">
        <v>20</v>
      </c>
      <c r="CU11" s="2">
        <v>60</v>
      </c>
      <c r="CV11" s="2">
        <v>60</v>
      </c>
      <c r="CW11" s="2">
        <v>40</v>
      </c>
      <c r="CX11" s="2">
        <v>20</v>
      </c>
      <c r="CY11" s="2">
        <v>10</v>
      </c>
      <c r="CZ11" s="2">
        <v>80</v>
      </c>
      <c r="DA11" s="2">
        <v>80</v>
      </c>
      <c r="DB11" s="2">
        <v>20</v>
      </c>
      <c r="DC11" s="2">
        <v>10</v>
      </c>
      <c r="DD11" s="2">
        <v>90</v>
      </c>
      <c r="DE11" s="2">
        <v>80</v>
      </c>
      <c r="DF11" s="2">
        <v>50</v>
      </c>
      <c r="DG11" s="2">
        <v>30</v>
      </c>
      <c r="DH11" s="2">
        <v>20</v>
      </c>
      <c r="DI11" s="2">
        <v>30</v>
      </c>
      <c r="DJ11" s="2">
        <v>60</v>
      </c>
      <c r="DK11" s="2">
        <v>60</v>
      </c>
      <c r="DL11" s="2">
        <v>70</v>
      </c>
      <c r="DM11" s="2">
        <v>10</v>
      </c>
      <c r="DN11" s="2">
        <v>50</v>
      </c>
      <c r="DO11" s="2">
        <v>30</v>
      </c>
      <c r="DP11" s="2">
        <v>90</v>
      </c>
      <c r="DQ11" s="2">
        <v>50</v>
      </c>
      <c r="DR11" s="2">
        <v>50</v>
      </c>
      <c r="DS11" s="2">
        <v>80</v>
      </c>
      <c r="DT11" s="2">
        <v>80</v>
      </c>
      <c r="DU11" s="2">
        <v>70</v>
      </c>
      <c r="DV11" s="2">
        <v>40</v>
      </c>
      <c r="DW11" s="2">
        <v>20</v>
      </c>
      <c r="DX11" s="2">
        <v>10</v>
      </c>
      <c r="DY11" s="2">
        <v>70</v>
      </c>
      <c r="DZ11" s="2">
        <v>100</v>
      </c>
      <c r="EA11" s="2">
        <v>40</v>
      </c>
      <c r="EB11" s="2">
        <v>30</v>
      </c>
      <c r="EC11" s="2">
        <v>10</v>
      </c>
      <c r="ED11" s="2">
        <v>70</v>
      </c>
      <c r="EE11" s="2">
        <v>30</v>
      </c>
      <c r="EF11" s="2">
        <v>40</v>
      </c>
      <c r="EG11" s="2">
        <v>10</v>
      </c>
      <c r="EH11" s="2">
        <v>90</v>
      </c>
      <c r="EI11" s="2">
        <v>90</v>
      </c>
      <c r="EJ11" s="2">
        <v>50</v>
      </c>
      <c r="EK11" s="2">
        <v>90</v>
      </c>
      <c r="EL11" s="2">
        <v>100</v>
      </c>
      <c r="EM11" s="2">
        <v>60</v>
      </c>
      <c r="EN11" s="2">
        <v>60</v>
      </c>
    </row>
    <row r="12" spans="2:144" x14ac:dyDescent="0.3">
      <c r="B12" s="9">
        <v>0.375</v>
      </c>
      <c r="C12" s="2">
        <v>80</v>
      </c>
      <c r="D12" s="2">
        <v>90</v>
      </c>
      <c r="E12" s="2">
        <v>40</v>
      </c>
      <c r="F12" s="2">
        <v>40</v>
      </c>
      <c r="G12" s="2">
        <v>30</v>
      </c>
      <c r="H12" s="2">
        <v>50</v>
      </c>
      <c r="I12" s="2">
        <v>40</v>
      </c>
      <c r="J12" s="2">
        <v>30</v>
      </c>
      <c r="K12" s="2">
        <v>80</v>
      </c>
      <c r="L12" s="2">
        <v>50</v>
      </c>
      <c r="M12" s="2">
        <v>90</v>
      </c>
      <c r="N12" s="2">
        <v>20</v>
      </c>
      <c r="O12" s="2">
        <v>40</v>
      </c>
      <c r="P12" s="2">
        <v>70</v>
      </c>
      <c r="Q12" s="2">
        <v>90</v>
      </c>
      <c r="R12" s="2">
        <v>10</v>
      </c>
      <c r="S12" s="2">
        <v>70</v>
      </c>
      <c r="T12" s="2">
        <v>20</v>
      </c>
      <c r="U12" s="2">
        <v>10</v>
      </c>
      <c r="V12" s="2">
        <v>60</v>
      </c>
      <c r="W12" s="2">
        <v>40</v>
      </c>
      <c r="X12" s="2">
        <v>70</v>
      </c>
      <c r="Y12" s="2">
        <v>100</v>
      </c>
      <c r="Z12" s="2">
        <v>90</v>
      </c>
      <c r="AA12" s="2">
        <v>30</v>
      </c>
      <c r="AB12" s="2">
        <v>20</v>
      </c>
      <c r="AC12" s="2">
        <v>10</v>
      </c>
      <c r="AD12" s="2">
        <v>60</v>
      </c>
      <c r="AE12" s="2">
        <v>10</v>
      </c>
      <c r="AF12" s="2">
        <v>40</v>
      </c>
      <c r="AG12" s="2">
        <v>60</v>
      </c>
      <c r="AH12" s="2">
        <v>20</v>
      </c>
      <c r="AI12" s="2">
        <v>50</v>
      </c>
      <c r="AJ12" s="2">
        <v>90</v>
      </c>
      <c r="AK12" s="2">
        <v>50</v>
      </c>
      <c r="AL12" s="2">
        <v>90</v>
      </c>
      <c r="AM12" s="2">
        <v>60</v>
      </c>
      <c r="AN12" s="2">
        <v>10</v>
      </c>
      <c r="AO12" s="2">
        <v>10</v>
      </c>
      <c r="AP12" s="2">
        <v>80</v>
      </c>
      <c r="AQ12" s="2">
        <v>50</v>
      </c>
      <c r="AR12" s="2">
        <v>50</v>
      </c>
      <c r="AS12" s="2">
        <v>40</v>
      </c>
      <c r="AT12" s="2">
        <v>90</v>
      </c>
      <c r="AU12" s="2">
        <v>10</v>
      </c>
      <c r="AV12" s="2">
        <v>90</v>
      </c>
      <c r="AW12" s="2">
        <v>60</v>
      </c>
      <c r="AX12" s="2">
        <v>30</v>
      </c>
      <c r="AY12" s="2">
        <v>30</v>
      </c>
      <c r="AZ12" s="2">
        <v>100</v>
      </c>
      <c r="BA12" s="2">
        <v>80</v>
      </c>
      <c r="BB12" s="2">
        <v>90</v>
      </c>
      <c r="BC12" s="2">
        <v>20</v>
      </c>
      <c r="BD12" s="2">
        <v>30</v>
      </c>
      <c r="BE12" s="2">
        <v>60</v>
      </c>
      <c r="BF12" s="2">
        <v>20</v>
      </c>
      <c r="BG12" s="2">
        <v>50</v>
      </c>
      <c r="BH12" s="2">
        <v>40</v>
      </c>
      <c r="BI12" s="2">
        <v>100</v>
      </c>
      <c r="BJ12" s="2">
        <v>70</v>
      </c>
      <c r="BK12" s="2">
        <v>70</v>
      </c>
      <c r="BL12" s="2">
        <v>90</v>
      </c>
      <c r="BM12" s="2">
        <v>10</v>
      </c>
      <c r="BN12" s="2">
        <v>50</v>
      </c>
      <c r="BO12" s="2">
        <v>30</v>
      </c>
      <c r="BP12" s="2">
        <v>30</v>
      </c>
      <c r="BQ12" s="2">
        <v>10</v>
      </c>
      <c r="BR12" s="2">
        <v>60</v>
      </c>
      <c r="BS12" s="2">
        <v>50</v>
      </c>
      <c r="BT12" s="2">
        <v>50</v>
      </c>
      <c r="BU12" s="2">
        <v>20</v>
      </c>
      <c r="BV12" s="2">
        <v>100</v>
      </c>
      <c r="BW12" s="2">
        <v>80</v>
      </c>
      <c r="BX12" s="2">
        <v>100</v>
      </c>
      <c r="BY12" s="2">
        <v>50</v>
      </c>
      <c r="BZ12" s="2">
        <v>90</v>
      </c>
      <c r="CA12" s="2">
        <v>20</v>
      </c>
      <c r="CB12" s="2">
        <v>30</v>
      </c>
      <c r="CC12" s="2">
        <v>100</v>
      </c>
      <c r="CD12" s="2">
        <v>20</v>
      </c>
      <c r="CE12" s="2">
        <v>20</v>
      </c>
      <c r="CF12" s="2">
        <v>90</v>
      </c>
      <c r="CG12" s="2">
        <v>80</v>
      </c>
      <c r="CH12" s="2">
        <v>50</v>
      </c>
      <c r="CI12" s="2">
        <v>70</v>
      </c>
      <c r="CJ12" s="2">
        <v>70</v>
      </c>
      <c r="CK12" s="2">
        <v>70</v>
      </c>
      <c r="CL12" s="2">
        <v>80</v>
      </c>
      <c r="CM12" s="2">
        <v>90</v>
      </c>
      <c r="CN12" s="2">
        <v>20</v>
      </c>
      <c r="CO12" s="2">
        <v>50</v>
      </c>
      <c r="CP12" s="2">
        <v>60</v>
      </c>
      <c r="CQ12" s="2">
        <v>10</v>
      </c>
      <c r="CR12" s="2">
        <v>20</v>
      </c>
      <c r="CS12" s="2">
        <v>50</v>
      </c>
      <c r="CT12" s="2">
        <v>70</v>
      </c>
      <c r="CU12" s="2">
        <v>80</v>
      </c>
      <c r="CV12" s="2">
        <v>40</v>
      </c>
      <c r="CW12" s="2">
        <v>20</v>
      </c>
      <c r="CX12" s="2">
        <v>100</v>
      </c>
      <c r="CY12" s="2">
        <v>100</v>
      </c>
      <c r="CZ12" s="2">
        <v>100</v>
      </c>
      <c r="DA12" s="2">
        <v>70</v>
      </c>
      <c r="DB12" s="2">
        <v>30</v>
      </c>
      <c r="DC12" s="2">
        <v>10</v>
      </c>
      <c r="DD12" s="2">
        <v>50</v>
      </c>
      <c r="DE12" s="2">
        <v>40</v>
      </c>
      <c r="DF12" s="2">
        <v>80</v>
      </c>
      <c r="DG12" s="2">
        <v>10</v>
      </c>
      <c r="DH12" s="2">
        <v>30</v>
      </c>
      <c r="DI12" s="2">
        <v>10</v>
      </c>
      <c r="DJ12" s="2">
        <v>30</v>
      </c>
      <c r="DK12" s="2">
        <v>80</v>
      </c>
      <c r="DL12" s="2">
        <v>100</v>
      </c>
      <c r="DM12" s="2">
        <v>30</v>
      </c>
      <c r="DN12" s="2">
        <v>50</v>
      </c>
      <c r="DO12" s="2">
        <v>100</v>
      </c>
      <c r="DP12" s="2">
        <v>20</v>
      </c>
      <c r="DQ12" s="2">
        <v>10</v>
      </c>
      <c r="DR12" s="2">
        <v>60</v>
      </c>
      <c r="DS12" s="2">
        <v>10</v>
      </c>
      <c r="DT12" s="2">
        <v>90</v>
      </c>
      <c r="DU12" s="2">
        <v>100</v>
      </c>
      <c r="DV12" s="2">
        <v>100</v>
      </c>
      <c r="DW12" s="2">
        <v>80</v>
      </c>
      <c r="DX12" s="2">
        <v>90</v>
      </c>
      <c r="DY12" s="2">
        <v>90</v>
      </c>
      <c r="DZ12" s="2">
        <v>30</v>
      </c>
      <c r="EA12" s="2">
        <v>10</v>
      </c>
      <c r="EB12" s="2">
        <v>90</v>
      </c>
      <c r="EC12" s="2">
        <v>60</v>
      </c>
      <c r="ED12" s="2">
        <v>30</v>
      </c>
      <c r="EE12" s="2">
        <v>10</v>
      </c>
      <c r="EF12" s="2">
        <v>10</v>
      </c>
      <c r="EG12" s="2">
        <v>70</v>
      </c>
      <c r="EH12" s="2">
        <v>90</v>
      </c>
      <c r="EI12" s="2">
        <v>10</v>
      </c>
      <c r="EJ12" s="2">
        <v>50</v>
      </c>
      <c r="EK12" s="2">
        <v>40</v>
      </c>
      <c r="EL12" s="2">
        <v>20</v>
      </c>
      <c r="EM12" s="2">
        <v>60</v>
      </c>
      <c r="EN12" s="2">
        <v>10</v>
      </c>
    </row>
    <row r="13" spans="2:144" x14ac:dyDescent="0.3">
      <c r="B13" s="9">
        <v>0.41666666666666702</v>
      </c>
      <c r="C13" s="2">
        <v>100</v>
      </c>
      <c r="D13" s="2">
        <v>10</v>
      </c>
      <c r="E13" s="2">
        <v>50</v>
      </c>
      <c r="F13" s="2">
        <v>100</v>
      </c>
      <c r="G13" s="2">
        <v>100</v>
      </c>
      <c r="H13" s="2">
        <v>10</v>
      </c>
      <c r="I13" s="2">
        <v>20</v>
      </c>
      <c r="J13" s="2">
        <v>80</v>
      </c>
      <c r="K13" s="2">
        <v>80</v>
      </c>
      <c r="L13" s="2">
        <v>30</v>
      </c>
      <c r="M13" s="2">
        <v>40</v>
      </c>
      <c r="N13" s="2">
        <v>100</v>
      </c>
      <c r="O13" s="2">
        <v>20</v>
      </c>
      <c r="P13" s="2">
        <v>20</v>
      </c>
      <c r="Q13" s="2">
        <v>30</v>
      </c>
      <c r="R13" s="2">
        <v>20</v>
      </c>
      <c r="S13" s="2">
        <v>20</v>
      </c>
      <c r="T13" s="2">
        <v>20</v>
      </c>
      <c r="U13" s="2">
        <v>20</v>
      </c>
      <c r="V13" s="2">
        <v>30</v>
      </c>
      <c r="W13" s="2">
        <v>30</v>
      </c>
      <c r="X13" s="2">
        <v>30</v>
      </c>
      <c r="Y13" s="2">
        <v>90</v>
      </c>
      <c r="Z13" s="2">
        <v>70</v>
      </c>
      <c r="AA13" s="2">
        <v>100</v>
      </c>
      <c r="AB13" s="2">
        <v>80</v>
      </c>
      <c r="AC13" s="2">
        <v>60</v>
      </c>
      <c r="AD13" s="2">
        <v>80</v>
      </c>
      <c r="AE13" s="2">
        <v>20</v>
      </c>
      <c r="AF13" s="2">
        <v>50</v>
      </c>
      <c r="AG13" s="2">
        <v>20</v>
      </c>
      <c r="AH13" s="2">
        <v>80</v>
      </c>
      <c r="AI13" s="2">
        <v>100</v>
      </c>
      <c r="AJ13" s="2">
        <v>40</v>
      </c>
      <c r="AK13" s="2">
        <v>50</v>
      </c>
      <c r="AL13" s="2">
        <v>80</v>
      </c>
      <c r="AM13" s="2">
        <v>90</v>
      </c>
      <c r="AN13" s="2">
        <v>80</v>
      </c>
      <c r="AO13" s="2">
        <v>20</v>
      </c>
      <c r="AP13" s="2">
        <v>10</v>
      </c>
      <c r="AQ13" s="2">
        <v>100</v>
      </c>
      <c r="AR13" s="2">
        <v>80</v>
      </c>
      <c r="AS13" s="2">
        <v>50</v>
      </c>
      <c r="AT13" s="2">
        <v>90</v>
      </c>
      <c r="AU13" s="2">
        <v>50</v>
      </c>
      <c r="AV13" s="2">
        <v>20</v>
      </c>
      <c r="AW13" s="2">
        <v>100</v>
      </c>
      <c r="AX13" s="2">
        <v>70</v>
      </c>
      <c r="AY13" s="2">
        <v>100</v>
      </c>
      <c r="AZ13" s="2">
        <v>60</v>
      </c>
      <c r="BA13" s="2">
        <v>40</v>
      </c>
      <c r="BB13" s="2">
        <v>80</v>
      </c>
      <c r="BC13" s="2">
        <v>80</v>
      </c>
      <c r="BD13" s="2">
        <v>30</v>
      </c>
      <c r="BE13" s="2">
        <v>70</v>
      </c>
      <c r="BF13" s="2">
        <v>100</v>
      </c>
      <c r="BG13" s="2">
        <v>30</v>
      </c>
      <c r="BH13" s="2">
        <v>10</v>
      </c>
      <c r="BI13" s="2">
        <v>20</v>
      </c>
      <c r="BJ13" s="2">
        <v>30</v>
      </c>
      <c r="BK13" s="2">
        <v>90</v>
      </c>
      <c r="BL13" s="2">
        <v>60</v>
      </c>
      <c r="BM13" s="2">
        <v>80</v>
      </c>
      <c r="BN13" s="2">
        <v>20</v>
      </c>
      <c r="BO13" s="2">
        <v>20</v>
      </c>
      <c r="BP13" s="2">
        <v>70</v>
      </c>
      <c r="BQ13" s="2">
        <v>90</v>
      </c>
      <c r="BR13" s="2">
        <v>40</v>
      </c>
      <c r="BS13" s="2">
        <v>100</v>
      </c>
      <c r="BT13" s="2">
        <v>20</v>
      </c>
      <c r="BU13" s="2">
        <v>40</v>
      </c>
      <c r="BV13" s="2">
        <v>100</v>
      </c>
      <c r="BW13" s="2">
        <v>90</v>
      </c>
      <c r="BX13" s="2">
        <v>100</v>
      </c>
      <c r="BY13" s="2">
        <v>60</v>
      </c>
      <c r="BZ13" s="2">
        <v>40</v>
      </c>
      <c r="CA13" s="2">
        <v>70</v>
      </c>
      <c r="CB13" s="2">
        <v>90</v>
      </c>
      <c r="CC13" s="2">
        <v>10</v>
      </c>
      <c r="CD13" s="2">
        <v>60</v>
      </c>
      <c r="CE13" s="2">
        <v>50</v>
      </c>
      <c r="CF13" s="2">
        <v>50</v>
      </c>
      <c r="CG13" s="2">
        <v>70</v>
      </c>
      <c r="CH13" s="2">
        <v>50</v>
      </c>
      <c r="CI13" s="2">
        <v>80</v>
      </c>
      <c r="CJ13" s="2">
        <v>70</v>
      </c>
      <c r="CK13" s="2">
        <v>20</v>
      </c>
      <c r="CL13" s="2">
        <v>100</v>
      </c>
      <c r="CM13" s="2">
        <v>100</v>
      </c>
      <c r="CN13" s="2">
        <v>80</v>
      </c>
      <c r="CO13" s="2">
        <v>80</v>
      </c>
      <c r="CP13" s="2">
        <v>100</v>
      </c>
      <c r="CQ13" s="2">
        <v>30</v>
      </c>
      <c r="CR13" s="2">
        <v>70</v>
      </c>
      <c r="CS13" s="2">
        <v>50</v>
      </c>
      <c r="CT13" s="2">
        <v>10</v>
      </c>
      <c r="CU13" s="2">
        <v>100</v>
      </c>
      <c r="CV13" s="2">
        <v>50</v>
      </c>
      <c r="CW13" s="2">
        <v>10</v>
      </c>
      <c r="CX13" s="2">
        <v>90</v>
      </c>
      <c r="CY13" s="2">
        <v>80</v>
      </c>
      <c r="CZ13" s="2">
        <v>20</v>
      </c>
      <c r="DA13" s="2">
        <v>30</v>
      </c>
      <c r="DB13" s="2">
        <v>30</v>
      </c>
      <c r="DC13" s="2">
        <v>40</v>
      </c>
      <c r="DD13" s="2">
        <v>10</v>
      </c>
      <c r="DE13" s="2">
        <v>90</v>
      </c>
      <c r="DF13" s="2">
        <v>40</v>
      </c>
      <c r="DG13" s="2">
        <v>20</v>
      </c>
      <c r="DH13" s="2">
        <v>20</v>
      </c>
      <c r="DI13" s="2">
        <v>80</v>
      </c>
      <c r="DJ13" s="2">
        <v>30</v>
      </c>
      <c r="DK13" s="2">
        <v>70</v>
      </c>
      <c r="DL13" s="2">
        <v>70</v>
      </c>
      <c r="DM13" s="2">
        <v>20</v>
      </c>
      <c r="DN13" s="2">
        <v>100</v>
      </c>
      <c r="DO13" s="2">
        <v>10</v>
      </c>
      <c r="DP13" s="2">
        <v>60</v>
      </c>
      <c r="DQ13" s="2">
        <v>50</v>
      </c>
      <c r="DR13" s="2">
        <v>50</v>
      </c>
      <c r="DS13" s="2">
        <v>20</v>
      </c>
      <c r="DT13" s="2">
        <v>70</v>
      </c>
      <c r="DU13" s="2">
        <v>40</v>
      </c>
      <c r="DV13" s="2">
        <v>60</v>
      </c>
      <c r="DW13" s="2">
        <v>30</v>
      </c>
      <c r="DX13" s="2">
        <v>60</v>
      </c>
      <c r="DY13" s="2">
        <v>10</v>
      </c>
      <c r="DZ13" s="2">
        <v>20</v>
      </c>
      <c r="EA13" s="2">
        <v>10</v>
      </c>
      <c r="EB13" s="2">
        <v>80</v>
      </c>
      <c r="EC13" s="2">
        <v>90</v>
      </c>
      <c r="ED13" s="2">
        <v>70</v>
      </c>
      <c r="EE13" s="2">
        <v>60</v>
      </c>
      <c r="EF13" s="2">
        <v>40</v>
      </c>
      <c r="EG13" s="2">
        <v>20</v>
      </c>
      <c r="EH13" s="2">
        <v>90</v>
      </c>
      <c r="EI13" s="2">
        <v>40</v>
      </c>
      <c r="EJ13" s="2">
        <v>40</v>
      </c>
      <c r="EK13" s="2">
        <v>30</v>
      </c>
      <c r="EL13" s="2">
        <v>60</v>
      </c>
      <c r="EM13" s="2">
        <v>80</v>
      </c>
      <c r="EN13" s="2">
        <v>20</v>
      </c>
    </row>
    <row r="14" spans="2:144" x14ac:dyDescent="0.3">
      <c r="B14" s="9">
        <v>0.45833333333333298</v>
      </c>
      <c r="C14" s="2">
        <v>20</v>
      </c>
      <c r="D14" s="2">
        <v>70</v>
      </c>
      <c r="E14" s="2">
        <v>10</v>
      </c>
      <c r="F14" s="2">
        <v>20</v>
      </c>
      <c r="G14" s="2">
        <v>60</v>
      </c>
      <c r="H14" s="2">
        <v>50</v>
      </c>
      <c r="I14" s="2">
        <v>20</v>
      </c>
      <c r="J14" s="2">
        <v>70</v>
      </c>
      <c r="K14" s="2">
        <v>60</v>
      </c>
      <c r="L14" s="2">
        <v>90</v>
      </c>
      <c r="M14" s="2">
        <v>20</v>
      </c>
      <c r="N14" s="2">
        <v>60</v>
      </c>
      <c r="O14" s="2">
        <v>100</v>
      </c>
      <c r="P14" s="2">
        <v>40</v>
      </c>
      <c r="Q14" s="2">
        <v>90</v>
      </c>
      <c r="R14" s="2">
        <v>90</v>
      </c>
      <c r="S14" s="2">
        <v>80</v>
      </c>
      <c r="T14" s="2">
        <v>100</v>
      </c>
      <c r="U14" s="2">
        <v>100</v>
      </c>
      <c r="V14" s="2">
        <v>10</v>
      </c>
      <c r="W14" s="2">
        <v>40</v>
      </c>
      <c r="X14" s="2">
        <v>80</v>
      </c>
      <c r="Y14" s="2">
        <v>70</v>
      </c>
      <c r="Z14" s="2">
        <v>20</v>
      </c>
      <c r="AA14" s="2">
        <v>60</v>
      </c>
      <c r="AB14" s="2">
        <v>70</v>
      </c>
      <c r="AC14" s="2">
        <v>20</v>
      </c>
      <c r="AD14" s="2">
        <v>40</v>
      </c>
      <c r="AE14" s="2">
        <v>90</v>
      </c>
      <c r="AF14" s="2">
        <v>30</v>
      </c>
      <c r="AG14" s="2">
        <v>60</v>
      </c>
      <c r="AH14" s="2">
        <v>90</v>
      </c>
      <c r="AI14" s="2">
        <v>70</v>
      </c>
      <c r="AJ14" s="2">
        <v>20</v>
      </c>
      <c r="AK14" s="2">
        <v>100</v>
      </c>
      <c r="AL14" s="2">
        <v>10</v>
      </c>
      <c r="AM14" s="2">
        <v>100</v>
      </c>
      <c r="AN14" s="2">
        <v>80</v>
      </c>
      <c r="AO14" s="2">
        <v>100</v>
      </c>
      <c r="AP14" s="2">
        <v>60</v>
      </c>
      <c r="AQ14" s="2">
        <v>70</v>
      </c>
      <c r="AR14" s="2">
        <v>80</v>
      </c>
      <c r="AS14" s="2">
        <v>70</v>
      </c>
      <c r="AT14" s="2">
        <v>20</v>
      </c>
      <c r="AU14" s="2">
        <v>30</v>
      </c>
      <c r="AV14" s="2">
        <v>10</v>
      </c>
      <c r="AW14" s="2">
        <v>80</v>
      </c>
      <c r="AX14" s="2">
        <v>50</v>
      </c>
      <c r="AY14" s="2">
        <v>60</v>
      </c>
      <c r="AZ14" s="2">
        <v>30</v>
      </c>
      <c r="BA14" s="2">
        <v>100</v>
      </c>
      <c r="BB14" s="2">
        <v>90</v>
      </c>
      <c r="BC14" s="2">
        <v>70</v>
      </c>
      <c r="BD14" s="2">
        <v>100</v>
      </c>
      <c r="BE14" s="2">
        <v>80</v>
      </c>
      <c r="BF14" s="2">
        <v>50</v>
      </c>
      <c r="BG14" s="2">
        <v>80</v>
      </c>
      <c r="BH14" s="2">
        <v>10</v>
      </c>
      <c r="BI14" s="2">
        <v>50</v>
      </c>
      <c r="BJ14" s="2">
        <v>60</v>
      </c>
      <c r="BK14" s="2">
        <v>60</v>
      </c>
      <c r="BL14" s="2">
        <v>60</v>
      </c>
      <c r="BM14" s="2">
        <v>30</v>
      </c>
      <c r="BN14" s="2">
        <v>50</v>
      </c>
      <c r="BO14" s="2">
        <v>100</v>
      </c>
      <c r="BP14" s="2">
        <v>20</v>
      </c>
      <c r="BQ14" s="2">
        <v>70</v>
      </c>
      <c r="BR14" s="2">
        <v>100</v>
      </c>
      <c r="BS14" s="2">
        <v>40</v>
      </c>
      <c r="BT14" s="2">
        <v>40</v>
      </c>
      <c r="BU14" s="2">
        <v>60</v>
      </c>
      <c r="BV14" s="2">
        <v>70</v>
      </c>
      <c r="BW14" s="2">
        <v>100</v>
      </c>
      <c r="BX14" s="2">
        <v>100</v>
      </c>
      <c r="BY14" s="2">
        <v>70</v>
      </c>
      <c r="BZ14" s="2">
        <v>100</v>
      </c>
      <c r="CA14" s="2">
        <v>20</v>
      </c>
      <c r="CB14" s="2">
        <v>60</v>
      </c>
      <c r="CC14" s="2">
        <v>10</v>
      </c>
      <c r="CD14" s="2">
        <v>80</v>
      </c>
      <c r="CE14" s="2">
        <v>20</v>
      </c>
      <c r="CF14" s="2">
        <v>40</v>
      </c>
      <c r="CG14" s="2">
        <v>90</v>
      </c>
      <c r="CH14" s="2">
        <v>20</v>
      </c>
      <c r="CI14" s="2">
        <v>100</v>
      </c>
      <c r="CJ14" s="2">
        <v>80</v>
      </c>
      <c r="CK14" s="2">
        <v>50</v>
      </c>
      <c r="CL14" s="2">
        <v>20</v>
      </c>
      <c r="CM14" s="2">
        <v>30</v>
      </c>
      <c r="CN14" s="2">
        <v>20</v>
      </c>
      <c r="CO14" s="2">
        <v>50</v>
      </c>
      <c r="CP14" s="2">
        <v>60</v>
      </c>
      <c r="CQ14" s="2">
        <v>90</v>
      </c>
      <c r="CR14" s="2">
        <v>60</v>
      </c>
      <c r="CS14" s="2">
        <v>10</v>
      </c>
      <c r="CT14" s="2">
        <v>90</v>
      </c>
      <c r="CU14" s="2">
        <v>10</v>
      </c>
      <c r="CV14" s="2">
        <v>100</v>
      </c>
      <c r="CW14" s="2">
        <v>20</v>
      </c>
      <c r="CX14" s="2">
        <v>90</v>
      </c>
      <c r="CY14" s="2">
        <v>80</v>
      </c>
      <c r="CZ14" s="2">
        <v>10</v>
      </c>
      <c r="DA14" s="2">
        <v>90</v>
      </c>
      <c r="DB14" s="2">
        <v>40</v>
      </c>
      <c r="DC14" s="2">
        <v>20</v>
      </c>
      <c r="DD14" s="2">
        <v>10</v>
      </c>
      <c r="DE14" s="2">
        <v>50</v>
      </c>
      <c r="DF14" s="2">
        <v>60</v>
      </c>
      <c r="DG14" s="2">
        <v>20</v>
      </c>
      <c r="DH14" s="2">
        <v>70</v>
      </c>
      <c r="DI14" s="2">
        <v>80</v>
      </c>
      <c r="DJ14" s="2">
        <v>10</v>
      </c>
      <c r="DK14" s="2">
        <v>20</v>
      </c>
      <c r="DL14" s="2">
        <v>100</v>
      </c>
      <c r="DM14" s="2">
        <v>10</v>
      </c>
      <c r="DN14" s="2">
        <v>70</v>
      </c>
      <c r="DO14" s="2">
        <v>20</v>
      </c>
      <c r="DP14" s="2">
        <v>20</v>
      </c>
      <c r="DQ14" s="2">
        <v>90</v>
      </c>
      <c r="DR14" s="2">
        <v>20</v>
      </c>
      <c r="DS14" s="2">
        <v>40</v>
      </c>
      <c r="DT14" s="2">
        <v>20</v>
      </c>
      <c r="DU14" s="2">
        <v>60</v>
      </c>
      <c r="DV14" s="2">
        <v>10</v>
      </c>
      <c r="DW14" s="2">
        <v>80</v>
      </c>
      <c r="DX14" s="2">
        <v>100</v>
      </c>
      <c r="DY14" s="2">
        <v>70</v>
      </c>
      <c r="DZ14" s="2">
        <v>40</v>
      </c>
      <c r="EA14" s="2">
        <v>20</v>
      </c>
      <c r="EB14" s="2">
        <v>20</v>
      </c>
      <c r="EC14" s="2">
        <v>40</v>
      </c>
      <c r="ED14" s="2">
        <v>40</v>
      </c>
      <c r="EE14" s="2">
        <v>90</v>
      </c>
      <c r="EF14" s="2">
        <v>60</v>
      </c>
      <c r="EG14" s="2">
        <v>50</v>
      </c>
      <c r="EH14" s="2">
        <v>50</v>
      </c>
      <c r="EI14" s="2">
        <v>70</v>
      </c>
      <c r="EJ14" s="2">
        <v>20</v>
      </c>
      <c r="EK14" s="2">
        <v>100</v>
      </c>
      <c r="EL14" s="2">
        <v>10</v>
      </c>
      <c r="EM14" s="2">
        <v>60</v>
      </c>
      <c r="EN14" s="2">
        <v>40</v>
      </c>
    </row>
    <row r="15" spans="2:144" x14ac:dyDescent="0.3">
      <c r="B15" s="9">
        <v>0.5</v>
      </c>
      <c r="C15" s="2">
        <v>100</v>
      </c>
      <c r="D15" s="2">
        <v>60</v>
      </c>
      <c r="E15" s="2">
        <v>20</v>
      </c>
      <c r="F15" s="2">
        <v>20</v>
      </c>
      <c r="G15" s="2">
        <v>90</v>
      </c>
      <c r="H15" s="2">
        <v>40</v>
      </c>
      <c r="I15" s="2">
        <v>10</v>
      </c>
      <c r="J15" s="2">
        <v>10</v>
      </c>
      <c r="K15" s="2">
        <v>50</v>
      </c>
      <c r="L15" s="2">
        <v>60</v>
      </c>
      <c r="M15" s="2">
        <v>60</v>
      </c>
      <c r="N15" s="2">
        <v>20</v>
      </c>
      <c r="O15" s="2">
        <v>50</v>
      </c>
      <c r="P15" s="2">
        <v>40</v>
      </c>
      <c r="Q15" s="2">
        <v>50</v>
      </c>
      <c r="R15" s="2">
        <v>70</v>
      </c>
      <c r="S15" s="2">
        <v>70</v>
      </c>
      <c r="T15" s="2">
        <v>40</v>
      </c>
      <c r="U15" s="2">
        <v>90</v>
      </c>
      <c r="V15" s="2">
        <v>10</v>
      </c>
      <c r="W15" s="2">
        <v>40</v>
      </c>
      <c r="X15" s="2">
        <v>10</v>
      </c>
      <c r="Y15" s="2">
        <v>80</v>
      </c>
      <c r="Z15" s="2">
        <v>90</v>
      </c>
      <c r="AA15" s="2">
        <v>50</v>
      </c>
      <c r="AB15" s="2">
        <v>60</v>
      </c>
      <c r="AC15" s="2">
        <v>70</v>
      </c>
      <c r="AD15" s="2">
        <v>20</v>
      </c>
      <c r="AE15" s="2">
        <v>60</v>
      </c>
      <c r="AF15" s="2">
        <v>60</v>
      </c>
      <c r="AG15" s="2">
        <v>100</v>
      </c>
      <c r="AH15" s="2">
        <v>70</v>
      </c>
      <c r="AI15" s="2">
        <v>20</v>
      </c>
      <c r="AJ15" s="2">
        <v>90</v>
      </c>
      <c r="AK15" s="2">
        <v>30</v>
      </c>
      <c r="AL15" s="2">
        <v>40</v>
      </c>
      <c r="AM15" s="2">
        <v>50</v>
      </c>
      <c r="AN15" s="2">
        <v>40</v>
      </c>
      <c r="AO15" s="2">
        <v>50</v>
      </c>
      <c r="AP15" s="2">
        <v>70</v>
      </c>
      <c r="AQ15" s="2">
        <v>20</v>
      </c>
      <c r="AR15" s="2">
        <v>90</v>
      </c>
      <c r="AS15" s="2">
        <v>60</v>
      </c>
      <c r="AT15" s="2">
        <v>60</v>
      </c>
      <c r="AU15" s="2">
        <v>20</v>
      </c>
      <c r="AV15" s="2">
        <v>30</v>
      </c>
      <c r="AW15" s="2">
        <v>80</v>
      </c>
      <c r="AX15" s="2">
        <v>40</v>
      </c>
      <c r="AY15" s="2">
        <v>20</v>
      </c>
      <c r="AZ15" s="2">
        <v>70</v>
      </c>
      <c r="BA15" s="2">
        <v>40</v>
      </c>
      <c r="BB15" s="2">
        <v>10</v>
      </c>
      <c r="BC15" s="2">
        <v>90</v>
      </c>
      <c r="BD15" s="2">
        <v>60</v>
      </c>
      <c r="BE15" s="2">
        <v>60</v>
      </c>
      <c r="BF15" s="2">
        <v>70</v>
      </c>
      <c r="BG15" s="2">
        <v>90</v>
      </c>
      <c r="BH15" s="2">
        <v>10</v>
      </c>
      <c r="BI15" s="2">
        <v>40</v>
      </c>
      <c r="BJ15" s="2">
        <v>20</v>
      </c>
      <c r="BK15" s="2">
        <v>90</v>
      </c>
      <c r="BL15" s="2">
        <v>40</v>
      </c>
      <c r="BM15" s="2">
        <v>50</v>
      </c>
      <c r="BN15" s="2">
        <v>70</v>
      </c>
      <c r="BO15" s="2">
        <v>20</v>
      </c>
      <c r="BP15" s="2">
        <v>70</v>
      </c>
      <c r="BQ15" s="2">
        <v>100</v>
      </c>
      <c r="BR15" s="2">
        <v>70</v>
      </c>
      <c r="BS15" s="2">
        <v>30</v>
      </c>
      <c r="BT15" s="2">
        <v>70</v>
      </c>
      <c r="BU15" s="2">
        <v>90</v>
      </c>
      <c r="BV15" s="2">
        <v>90</v>
      </c>
      <c r="BW15" s="2">
        <v>100</v>
      </c>
      <c r="BX15" s="2">
        <v>20</v>
      </c>
      <c r="BY15" s="2">
        <v>80</v>
      </c>
      <c r="BZ15" s="2">
        <v>30</v>
      </c>
      <c r="CA15" s="2">
        <v>30</v>
      </c>
      <c r="CB15" s="2">
        <v>60</v>
      </c>
      <c r="CC15" s="2">
        <v>20</v>
      </c>
      <c r="CD15" s="2">
        <v>50</v>
      </c>
      <c r="CE15" s="2">
        <v>70</v>
      </c>
      <c r="CF15" s="2">
        <v>90</v>
      </c>
      <c r="CG15" s="2">
        <v>10</v>
      </c>
      <c r="CH15" s="2">
        <v>70</v>
      </c>
      <c r="CI15" s="2">
        <v>40</v>
      </c>
      <c r="CJ15" s="2">
        <v>60</v>
      </c>
      <c r="CK15" s="2">
        <v>70</v>
      </c>
      <c r="CL15" s="2">
        <v>100</v>
      </c>
      <c r="CM15" s="2">
        <v>50</v>
      </c>
      <c r="CN15" s="2">
        <v>30</v>
      </c>
      <c r="CO15" s="2">
        <v>100</v>
      </c>
      <c r="CP15" s="2">
        <v>20</v>
      </c>
      <c r="CQ15" s="2">
        <v>10</v>
      </c>
      <c r="CR15" s="2">
        <v>60</v>
      </c>
      <c r="CS15" s="2">
        <v>90</v>
      </c>
      <c r="CT15" s="2">
        <v>50</v>
      </c>
      <c r="CU15" s="2">
        <v>20</v>
      </c>
      <c r="CV15" s="2">
        <v>20</v>
      </c>
      <c r="CW15" s="2">
        <v>80</v>
      </c>
      <c r="CX15" s="2">
        <v>30</v>
      </c>
      <c r="CY15" s="2">
        <v>70</v>
      </c>
      <c r="CZ15" s="2">
        <v>20</v>
      </c>
      <c r="DA15" s="2">
        <v>20</v>
      </c>
      <c r="DB15" s="2">
        <v>40</v>
      </c>
      <c r="DC15" s="2">
        <v>50</v>
      </c>
      <c r="DD15" s="2">
        <v>70</v>
      </c>
      <c r="DE15" s="2">
        <v>60</v>
      </c>
      <c r="DF15" s="2">
        <v>20</v>
      </c>
      <c r="DG15" s="2">
        <v>30</v>
      </c>
      <c r="DH15" s="2">
        <v>70</v>
      </c>
      <c r="DI15" s="2">
        <v>20</v>
      </c>
      <c r="DJ15" s="2">
        <v>50</v>
      </c>
      <c r="DK15" s="2">
        <v>30</v>
      </c>
      <c r="DL15" s="2">
        <v>50</v>
      </c>
      <c r="DM15" s="2">
        <v>100</v>
      </c>
      <c r="DN15" s="2">
        <v>70</v>
      </c>
      <c r="DO15" s="2">
        <v>50</v>
      </c>
      <c r="DP15" s="2">
        <v>20</v>
      </c>
      <c r="DQ15" s="2">
        <v>20</v>
      </c>
      <c r="DR15" s="2">
        <v>60</v>
      </c>
      <c r="DS15" s="2">
        <v>100</v>
      </c>
      <c r="DT15" s="2">
        <v>90</v>
      </c>
      <c r="DU15" s="2">
        <v>30</v>
      </c>
      <c r="DV15" s="2">
        <v>70</v>
      </c>
      <c r="DW15" s="2">
        <v>80</v>
      </c>
      <c r="DX15" s="2">
        <v>10</v>
      </c>
      <c r="DY15" s="2">
        <v>50</v>
      </c>
      <c r="DZ15" s="2">
        <v>10</v>
      </c>
      <c r="EA15" s="2">
        <v>10</v>
      </c>
      <c r="EB15" s="2">
        <v>20</v>
      </c>
      <c r="EC15" s="2">
        <v>100</v>
      </c>
      <c r="ED15" s="2">
        <v>100</v>
      </c>
      <c r="EE15" s="2">
        <v>30</v>
      </c>
      <c r="EF15" s="2">
        <v>100</v>
      </c>
      <c r="EG15" s="2">
        <v>40</v>
      </c>
      <c r="EH15" s="2">
        <v>70</v>
      </c>
      <c r="EI15" s="2">
        <v>100</v>
      </c>
      <c r="EJ15" s="2">
        <v>30</v>
      </c>
      <c r="EK15" s="2">
        <v>70</v>
      </c>
      <c r="EL15" s="2">
        <v>90</v>
      </c>
      <c r="EM15" s="2">
        <v>50</v>
      </c>
      <c r="EN15" s="2">
        <v>10</v>
      </c>
    </row>
    <row r="16" spans="2:144" x14ac:dyDescent="0.3">
      <c r="B16" s="9">
        <v>0.54166666666666696</v>
      </c>
      <c r="C16" s="2">
        <v>50</v>
      </c>
      <c r="D16" s="2">
        <v>10</v>
      </c>
      <c r="E16" s="2">
        <v>80</v>
      </c>
      <c r="F16" s="2">
        <v>10</v>
      </c>
      <c r="G16" s="2">
        <v>20</v>
      </c>
      <c r="H16" s="2">
        <v>60</v>
      </c>
      <c r="I16" s="2">
        <v>50</v>
      </c>
      <c r="J16" s="2">
        <v>100</v>
      </c>
      <c r="K16" s="2">
        <v>70</v>
      </c>
      <c r="L16" s="2">
        <v>80</v>
      </c>
      <c r="M16" s="2">
        <v>20</v>
      </c>
      <c r="N16" s="2">
        <v>70</v>
      </c>
      <c r="O16" s="2">
        <v>100</v>
      </c>
      <c r="P16" s="2">
        <v>50</v>
      </c>
      <c r="Q16" s="2">
        <v>40</v>
      </c>
      <c r="R16" s="2">
        <v>80</v>
      </c>
      <c r="S16" s="2">
        <v>90</v>
      </c>
      <c r="T16" s="2">
        <v>50</v>
      </c>
      <c r="U16" s="2">
        <v>70</v>
      </c>
      <c r="V16" s="2">
        <v>90</v>
      </c>
      <c r="W16" s="2">
        <v>20</v>
      </c>
      <c r="X16" s="2">
        <v>20</v>
      </c>
      <c r="Y16" s="2">
        <v>10</v>
      </c>
      <c r="Z16" s="2">
        <v>30</v>
      </c>
      <c r="AA16" s="2">
        <v>100</v>
      </c>
      <c r="AB16" s="2">
        <v>90</v>
      </c>
      <c r="AC16" s="2">
        <v>20</v>
      </c>
      <c r="AD16" s="2">
        <v>60</v>
      </c>
      <c r="AE16" s="2">
        <v>90</v>
      </c>
      <c r="AF16" s="2">
        <v>20</v>
      </c>
      <c r="AG16" s="2">
        <v>50</v>
      </c>
      <c r="AH16" s="2">
        <v>80</v>
      </c>
      <c r="AI16" s="2">
        <v>20</v>
      </c>
      <c r="AJ16" s="2">
        <v>20</v>
      </c>
      <c r="AK16" s="2">
        <v>90</v>
      </c>
      <c r="AL16" s="2">
        <v>70</v>
      </c>
      <c r="AM16" s="2">
        <v>60</v>
      </c>
      <c r="AN16" s="2">
        <v>90</v>
      </c>
      <c r="AO16" s="2">
        <v>50</v>
      </c>
      <c r="AP16" s="2">
        <v>100</v>
      </c>
      <c r="AQ16" s="2">
        <v>70</v>
      </c>
      <c r="AR16" s="2">
        <v>20</v>
      </c>
      <c r="AS16" s="2">
        <v>80</v>
      </c>
      <c r="AT16" s="2">
        <v>90</v>
      </c>
      <c r="AU16" s="2">
        <v>60</v>
      </c>
      <c r="AV16" s="2">
        <v>50</v>
      </c>
      <c r="AW16" s="2">
        <v>90</v>
      </c>
      <c r="AX16" s="2">
        <v>90</v>
      </c>
      <c r="AY16" s="2">
        <v>10</v>
      </c>
      <c r="AZ16" s="2">
        <v>30</v>
      </c>
      <c r="BA16" s="2">
        <v>70</v>
      </c>
      <c r="BB16" s="2">
        <v>20</v>
      </c>
      <c r="BC16" s="2">
        <v>10</v>
      </c>
      <c r="BD16" s="2">
        <v>30</v>
      </c>
      <c r="BE16" s="2">
        <v>90</v>
      </c>
      <c r="BF16" s="2">
        <v>90</v>
      </c>
      <c r="BG16" s="2">
        <v>90</v>
      </c>
      <c r="BH16" s="2">
        <v>60</v>
      </c>
      <c r="BI16" s="2">
        <v>40</v>
      </c>
      <c r="BJ16" s="2">
        <v>60</v>
      </c>
      <c r="BK16" s="2">
        <v>50</v>
      </c>
      <c r="BL16" s="2">
        <v>80</v>
      </c>
      <c r="BM16" s="2">
        <v>80</v>
      </c>
      <c r="BN16" s="2">
        <v>50</v>
      </c>
      <c r="BO16" s="2">
        <v>20</v>
      </c>
      <c r="BP16" s="2">
        <v>90</v>
      </c>
      <c r="BQ16" s="2">
        <v>70</v>
      </c>
      <c r="BR16" s="2">
        <v>10</v>
      </c>
      <c r="BS16" s="2">
        <v>20</v>
      </c>
      <c r="BT16" s="2">
        <v>80</v>
      </c>
      <c r="BU16" s="2">
        <v>90</v>
      </c>
      <c r="BV16" s="2">
        <v>60</v>
      </c>
      <c r="BW16" s="2">
        <v>40</v>
      </c>
      <c r="BX16" s="2">
        <v>20</v>
      </c>
      <c r="BY16" s="2">
        <v>20</v>
      </c>
      <c r="BZ16" s="2">
        <v>60</v>
      </c>
      <c r="CA16" s="2">
        <v>70</v>
      </c>
      <c r="CB16" s="2">
        <v>90</v>
      </c>
      <c r="CC16" s="2">
        <v>10</v>
      </c>
      <c r="CD16" s="2">
        <v>20</v>
      </c>
      <c r="CE16" s="2">
        <v>10</v>
      </c>
      <c r="CF16" s="2">
        <v>80</v>
      </c>
      <c r="CG16" s="2">
        <v>100</v>
      </c>
      <c r="CH16" s="2">
        <v>30</v>
      </c>
      <c r="CI16" s="2">
        <v>70</v>
      </c>
      <c r="CJ16" s="2">
        <v>70</v>
      </c>
      <c r="CK16" s="2">
        <v>30</v>
      </c>
      <c r="CL16" s="2">
        <v>50</v>
      </c>
      <c r="CM16" s="2">
        <v>80</v>
      </c>
      <c r="CN16" s="2">
        <v>100</v>
      </c>
      <c r="CO16" s="2">
        <v>80</v>
      </c>
      <c r="CP16" s="2">
        <v>20</v>
      </c>
      <c r="CQ16" s="2">
        <v>80</v>
      </c>
      <c r="CR16" s="2">
        <v>80</v>
      </c>
      <c r="CS16" s="2">
        <v>70</v>
      </c>
      <c r="CT16" s="2">
        <v>30</v>
      </c>
      <c r="CU16" s="2">
        <v>20</v>
      </c>
      <c r="CV16" s="2">
        <v>90</v>
      </c>
      <c r="CW16" s="2">
        <v>20</v>
      </c>
      <c r="CX16" s="2">
        <v>90</v>
      </c>
      <c r="CY16" s="2">
        <v>20</v>
      </c>
      <c r="CZ16" s="2">
        <v>70</v>
      </c>
      <c r="DA16" s="2">
        <v>10</v>
      </c>
      <c r="DB16" s="2">
        <v>10</v>
      </c>
      <c r="DC16" s="2">
        <v>100</v>
      </c>
      <c r="DD16" s="2">
        <v>20</v>
      </c>
      <c r="DE16" s="2">
        <v>50</v>
      </c>
      <c r="DF16" s="2">
        <v>100</v>
      </c>
      <c r="DG16" s="2">
        <v>50</v>
      </c>
      <c r="DH16" s="2">
        <v>100</v>
      </c>
      <c r="DI16" s="2">
        <v>80</v>
      </c>
      <c r="DJ16" s="2">
        <v>40</v>
      </c>
      <c r="DK16" s="2">
        <v>30</v>
      </c>
      <c r="DL16" s="2">
        <v>10</v>
      </c>
      <c r="DM16" s="2">
        <v>80</v>
      </c>
      <c r="DN16" s="2">
        <v>20</v>
      </c>
      <c r="DO16" s="2">
        <v>20</v>
      </c>
      <c r="DP16" s="2">
        <v>70</v>
      </c>
      <c r="DQ16" s="2">
        <v>10</v>
      </c>
      <c r="DR16" s="2">
        <v>70</v>
      </c>
      <c r="DS16" s="2">
        <v>80</v>
      </c>
      <c r="DT16" s="2">
        <v>90</v>
      </c>
      <c r="DU16" s="2">
        <v>90</v>
      </c>
      <c r="DV16" s="2">
        <v>20</v>
      </c>
      <c r="DW16" s="2">
        <v>20</v>
      </c>
      <c r="DX16" s="2">
        <v>70</v>
      </c>
      <c r="DY16" s="2">
        <v>10</v>
      </c>
      <c r="DZ16" s="2">
        <v>30</v>
      </c>
      <c r="EA16" s="2">
        <v>30</v>
      </c>
      <c r="EB16" s="2">
        <v>100</v>
      </c>
      <c r="EC16" s="2">
        <v>30</v>
      </c>
      <c r="ED16" s="2">
        <v>40</v>
      </c>
      <c r="EE16" s="2">
        <v>90</v>
      </c>
      <c r="EF16" s="2">
        <v>100</v>
      </c>
      <c r="EG16" s="2">
        <v>70</v>
      </c>
      <c r="EH16" s="2">
        <v>60</v>
      </c>
      <c r="EI16" s="2">
        <v>10</v>
      </c>
      <c r="EJ16" s="2">
        <v>50</v>
      </c>
      <c r="EK16" s="2">
        <v>40</v>
      </c>
      <c r="EL16" s="2">
        <v>20</v>
      </c>
      <c r="EM16" s="2">
        <v>20</v>
      </c>
      <c r="EN16" s="2">
        <v>20</v>
      </c>
    </row>
    <row r="17" spans="2:145" x14ac:dyDescent="0.3">
      <c r="B17" s="9">
        <v>0.58333333333333304</v>
      </c>
      <c r="C17" s="2">
        <v>80</v>
      </c>
      <c r="D17" s="2">
        <v>60</v>
      </c>
      <c r="E17" s="2">
        <v>60</v>
      </c>
      <c r="F17" s="2">
        <v>80</v>
      </c>
      <c r="G17" s="2">
        <v>90</v>
      </c>
      <c r="H17" s="2">
        <v>40</v>
      </c>
      <c r="I17" s="2">
        <v>30</v>
      </c>
      <c r="J17" s="2">
        <v>40</v>
      </c>
      <c r="K17" s="2">
        <v>100</v>
      </c>
      <c r="L17" s="2">
        <v>50</v>
      </c>
      <c r="M17" s="2">
        <v>60</v>
      </c>
      <c r="N17" s="2">
        <v>30</v>
      </c>
      <c r="O17" s="2">
        <v>10</v>
      </c>
      <c r="P17" s="2">
        <v>10</v>
      </c>
      <c r="Q17" s="2">
        <v>60</v>
      </c>
      <c r="R17" s="2">
        <v>60</v>
      </c>
      <c r="S17" s="2">
        <v>30</v>
      </c>
      <c r="T17" s="2">
        <v>70</v>
      </c>
      <c r="U17" s="2">
        <v>30</v>
      </c>
      <c r="V17" s="2">
        <v>10</v>
      </c>
      <c r="W17" s="2">
        <v>30</v>
      </c>
      <c r="X17" s="2">
        <v>90</v>
      </c>
      <c r="Y17" s="2">
        <v>60</v>
      </c>
      <c r="Z17" s="2">
        <v>80</v>
      </c>
      <c r="AA17" s="2">
        <v>100</v>
      </c>
      <c r="AB17" s="2">
        <v>50</v>
      </c>
      <c r="AC17" s="2">
        <v>40</v>
      </c>
      <c r="AD17" s="2">
        <v>20</v>
      </c>
      <c r="AE17" s="2">
        <v>40</v>
      </c>
      <c r="AF17" s="2">
        <v>90</v>
      </c>
      <c r="AG17" s="2">
        <v>60</v>
      </c>
      <c r="AH17" s="2">
        <v>10</v>
      </c>
      <c r="AI17" s="2">
        <v>20</v>
      </c>
      <c r="AJ17" s="2">
        <v>90</v>
      </c>
      <c r="AK17" s="2">
        <v>20</v>
      </c>
      <c r="AL17" s="2">
        <v>50</v>
      </c>
      <c r="AM17" s="2">
        <v>50</v>
      </c>
      <c r="AN17" s="2">
        <v>70</v>
      </c>
      <c r="AO17" s="2">
        <v>70</v>
      </c>
      <c r="AP17" s="2">
        <v>30</v>
      </c>
      <c r="AQ17" s="2">
        <v>20</v>
      </c>
      <c r="AR17" s="2">
        <v>10</v>
      </c>
      <c r="AS17" s="2">
        <v>40</v>
      </c>
      <c r="AT17" s="2">
        <v>40</v>
      </c>
      <c r="AU17" s="2">
        <v>90</v>
      </c>
      <c r="AV17" s="2">
        <v>80</v>
      </c>
      <c r="AW17" s="2">
        <v>60</v>
      </c>
      <c r="AX17" s="2">
        <v>100</v>
      </c>
      <c r="AY17" s="2">
        <v>10</v>
      </c>
      <c r="AZ17" s="2">
        <v>40</v>
      </c>
      <c r="BA17" s="2">
        <v>70</v>
      </c>
      <c r="BB17" s="2">
        <v>100</v>
      </c>
      <c r="BC17" s="2">
        <v>90</v>
      </c>
      <c r="BD17" s="2">
        <v>10</v>
      </c>
      <c r="BE17" s="2">
        <v>60</v>
      </c>
      <c r="BF17" s="2">
        <v>40</v>
      </c>
      <c r="BG17" s="2">
        <v>20</v>
      </c>
      <c r="BH17" s="2">
        <v>40</v>
      </c>
      <c r="BI17" s="2">
        <v>80</v>
      </c>
      <c r="BJ17" s="2">
        <v>80</v>
      </c>
      <c r="BK17" s="2">
        <v>30</v>
      </c>
      <c r="BL17" s="2">
        <v>20</v>
      </c>
      <c r="BM17" s="2">
        <v>100</v>
      </c>
      <c r="BN17" s="2">
        <v>30</v>
      </c>
      <c r="BO17" s="2">
        <v>20</v>
      </c>
      <c r="BP17" s="2">
        <v>50</v>
      </c>
      <c r="BQ17" s="2">
        <v>10</v>
      </c>
      <c r="BR17" s="2">
        <v>50</v>
      </c>
      <c r="BS17" s="2">
        <v>80</v>
      </c>
      <c r="BT17" s="2">
        <v>100</v>
      </c>
      <c r="BU17" s="2">
        <v>30</v>
      </c>
      <c r="BV17" s="2">
        <v>20</v>
      </c>
      <c r="BW17" s="2">
        <v>100</v>
      </c>
      <c r="BX17" s="2">
        <v>90</v>
      </c>
      <c r="BY17" s="2">
        <v>100</v>
      </c>
      <c r="BZ17" s="2">
        <v>90</v>
      </c>
      <c r="CA17" s="2">
        <v>20</v>
      </c>
      <c r="CB17" s="2">
        <v>60</v>
      </c>
      <c r="CC17" s="2">
        <v>80</v>
      </c>
      <c r="CD17" s="2">
        <v>80</v>
      </c>
      <c r="CE17" s="2">
        <v>60</v>
      </c>
      <c r="CF17" s="2">
        <v>60</v>
      </c>
      <c r="CG17" s="2">
        <v>40</v>
      </c>
      <c r="CH17" s="2">
        <v>80</v>
      </c>
      <c r="CI17" s="2">
        <v>90</v>
      </c>
      <c r="CJ17" s="2">
        <v>60</v>
      </c>
      <c r="CK17" s="2">
        <v>50</v>
      </c>
      <c r="CL17" s="2">
        <v>90</v>
      </c>
      <c r="CM17" s="2">
        <v>90</v>
      </c>
      <c r="CN17" s="2">
        <v>20</v>
      </c>
      <c r="CO17" s="2">
        <v>90</v>
      </c>
      <c r="CP17" s="2">
        <v>80</v>
      </c>
      <c r="CQ17" s="2">
        <v>70</v>
      </c>
      <c r="CR17" s="2">
        <v>80</v>
      </c>
      <c r="CS17" s="2">
        <v>60</v>
      </c>
      <c r="CT17" s="2">
        <v>70</v>
      </c>
      <c r="CU17" s="2">
        <v>60</v>
      </c>
      <c r="CV17" s="2">
        <v>100</v>
      </c>
      <c r="CW17" s="2">
        <v>80</v>
      </c>
      <c r="CX17" s="2">
        <v>50</v>
      </c>
      <c r="CY17" s="2">
        <v>80</v>
      </c>
      <c r="CZ17" s="2">
        <v>20</v>
      </c>
      <c r="DA17" s="2">
        <v>90</v>
      </c>
      <c r="DB17" s="2">
        <v>100</v>
      </c>
      <c r="DC17" s="2">
        <v>10</v>
      </c>
      <c r="DD17" s="2">
        <v>90</v>
      </c>
      <c r="DE17" s="2">
        <v>80</v>
      </c>
      <c r="DF17" s="2">
        <v>20</v>
      </c>
      <c r="DG17" s="2">
        <v>50</v>
      </c>
      <c r="DH17" s="2">
        <v>20</v>
      </c>
      <c r="DI17" s="2">
        <v>50</v>
      </c>
      <c r="DJ17" s="2">
        <v>60</v>
      </c>
      <c r="DK17" s="2">
        <v>80</v>
      </c>
      <c r="DL17" s="2">
        <v>80</v>
      </c>
      <c r="DM17" s="2">
        <v>10</v>
      </c>
      <c r="DN17" s="2">
        <v>80</v>
      </c>
      <c r="DO17" s="2">
        <v>80</v>
      </c>
      <c r="DP17" s="2">
        <v>30</v>
      </c>
      <c r="DQ17" s="2">
        <v>10</v>
      </c>
      <c r="DR17" s="2">
        <v>90</v>
      </c>
      <c r="DS17" s="2">
        <v>30</v>
      </c>
      <c r="DT17" s="2">
        <v>30</v>
      </c>
      <c r="DU17" s="2">
        <v>80</v>
      </c>
      <c r="DV17" s="2">
        <v>90</v>
      </c>
      <c r="DW17" s="2">
        <v>10</v>
      </c>
      <c r="DX17" s="2">
        <v>10</v>
      </c>
      <c r="DY17" s="2">
        <v>90</v>
      </c>
      <c r="DZ17" s="2">
        <v>70</v>
      </c>
      <c r="EA17" s="2">
        <v>60</v>
      </c>
      <c r="EB17" s="2">
        <v>10</v>
      </c>
      <c r="EC17" s="2">
        <v>10</v>
      </c>
      <c r="ED17" s="2">
        <v>90</v>
      </c>
      <c r="EE17" s="2">
        <v>30</v>
      </c>
      <c r="EF17" s="2">
        <v>70</v>
      </c>
      <c r="EG17" s="2">
        <v>50</v>
      </c>
      <c r="EH17" s="2">
        <v>80</v>
      </c>
      <c r="EI17" s="2">
        <v>10</v>
      </c>
      <c r="EJ17" s="2">
        <v>70</v>
      </c>
      <c r="EK17" s="2">
        <v>60</v>
      </c>
      <c r="EL17" s="2">
        <v>30</v>
      </c>
      <c r="EM17" s="2">
        <v>90</v>
      </c>
      <c r="EN17" s="2">
        <v>20</v>
      </c>
    </row>
    <row r="18" spans="2:145" x14ac:dyDescent="0.3">
      <c r="B18" s="9">
        <v>0.625</v>
      </c>
      <c r="C18" s="2">
        <v>20</v>
      </c>
      <c r="D18" s="2">
        <v>40</v>
      </c>
      <c r="E18" s="2">
        <v>70</v>
      </c>
      <c r="F18" s="2">
        <v>90</v>
      </c>
      <c r="G18" s="2">
        <v>40</v>
      </c>
      <c r="H18" s="2">
        <v>60</v>
      </c>
      <c r="I18" s="2">
        <v>40</v>
      </c>
      <c r="J18" s="2">
        <v>10</v>
      </c>
      <c r="K18" s="2">
        <v>80</v>
      </c>
      <c r="L18" s="2">
        <v>80</v>
      </c>
      <c r="M18" s="2">
        <v>40</v>
      </c>
      <c r="N18" s="2">
        <v>70</v>
      </c>
      <c r="O18" s="2">
        <v>80</v>
      </c>
      <c r="P18" s="2">
        <v>60</v>
      </c>
      <c r="Q18" s="2">
        <v>90</v>
      </c>
      <c r="R18" s="2">
        <v>40</v>
      </c>
      <c r="S18" s="2">
        <v>10</v>
      </c>
      <c r="T18" s="2">
        <v>20</v>
      </c>
      <c r="U18" s="2">
        <v>90</v>
      </c>
      <c r="V18" s="2">
        <v>20</v>
      </c>
      <c r="W18" s="2">
        <v>20</v>
      </c>
      <c r="X18" s="2">
        <v>80</v>
      </c>
      <c r="Y18" s="2">
        <v>10</v>
      </c>
      <c r="Z18" s="2">
        <v>20</v>
      </c>
      <c r="AA18" s="2">
        <v>20</v>
      </c>
      <c r="AB18" s="2">
        <v>50</v>
      </c>
      <c r="AC18" s="2">
        <v>100</v>
      </c>
      <c r="AD18" s="2">
        <v>10</v>
      </c>
      <c r="AE18" s="2">
        <v>50</v>
      </c>
      <c r="AF18" s="2">
        <v>100</v>
      </c>
      <c r="AG18" s="2">
        <v>10</v>
      </c>
      <c r="AH18" s="2">
        <v>60</v>
      </c>
      <c r="AI18" s="2">
        <v>10</v>
      </c>
      <c r="AJ18" s="2">
        <v>30</v>
      </c>
      <c r="AK18" s="2">
        <v>80</v>
      </c>
      <c r="AL18" s="2">
        <v>70</v>
      </c>
      <c r="AM18" s="2">
        <v>50</v>
      </c>
      <c r="AN18" s="2">
        <v>20</v>
      </c>
      <c r="AO18" s="2">
        <v>10</v>
      </c>
      <c r="AP18" s="2">
        <v>40</v>
      </c>
      <c r="AQ18" s="2">
        <v>40</v>
      </c>
      <c r="AR18" s="2">
        <v>80</v>
      </c>
      <c r="AS18" s="2">
        <v>20</v>
      </c>
      <c r="AT18" s="2">
        <v>40</v>
      </c>
      <c r="AU18" s="2">
        <v>20</v>
      </c>
      <c r="AV18" s="2">
        <v>20</v>
      </c>
      <c r="AW18" s="2">
        <v>20</v>
      </c>
      <c r="AX18" s="2">
        <v>80</v>
      </c>
      <c r="AY18" s="2">
        <v>40</v>
      </c>
      <c r="AZ18" s="2">
        <v>60</v>
      </c>
      <c r="BA18" s="2">
        <v>50</v>
      </c>
      <c r="BB18" s="2">
        <v>20</v>
      </c>
      <c r="BC18" s="2">
        <v>10</v>
      </c>
      <c r="BD18" s="2">
        <v>60</v>
      </c>
      <c r="BE18" s="2">
        <v>90</v>
      </c>
      <c r="BF18" s="2">
        <v>90</v>
      </c>
      <c r="BG18" s="2">
        <v>10</v>
      </c>
      <c r="BH18" s="2">
        <v>100</v>
      </c>
      <c r="BI18" s="2">
        <v>100</v>
      </c>
      <c r="BJ18" s="2">
        <v>20</v>
      </c>
      <c r="BK18" s="2">
        <v>10</v>
      </c>
      <c r="BL18" s="2">
        <v>90</v>
      </c>
      <c r="BM18" s="2">
        <v>80</v>
      </c>
      <c r="BN18" s="2">
        <v>50</v>
      </c>
      <c r="BO18" s="2">
        <v>50</v>
      </c>
      <c r="BP18" s="2">
        <v>70</v>
      </c>
      <c r="BQ18" s="2">
        <v>80</v>
      </c>
      <c r="BR18" s="2">
        <v>30</v>
      </c>
      <c r="BS18" s="2">
        <v>100</v>
      </c>
      <c r="BT18" s="2">
        <v>20</v>
      </c>
      <c r="BU18" s="2">
        <v>70</v>
      </c>
      <c r="BV18" s="2">
        <v>10</v>
      </c>
      <c r="BW18" s="2">
        <v>20</v>
      </c>
      <c r="BX18" s="2">
        <v>20</v>
      </c>
      <c r="BY18" s="2">
        <v>50</v>
      </c>
      <c r="BZ18" s="2">
        <v>20</v>
      </c>
      <c r="CA18" s="2">
        <v>20</v>
      </c>
      <c r="CB18" s="2">
        <v>70</v>
      </c>
      <c r="CC18" s="2">
        <v>40</v>
      </c>
      <c r="CD18" s="2">
        <v>20</v>
      </c>
      <c r="CE18" s="2">
        <v>10</v>
      </c>
      <c r="CF18" s="2">
        <v>100</v>
      </c>
      <c r="CG18" s="2">
        <v>20</v>
      </c>
      <c r="CH18" s="2">
        <v>70</v>
      </c>
      <c r="CI18" s="2">
        <v>20</v>
      </c>
      <c r="CJ18" s="2">
        <v>40</v>
      </c>
      <c r="CK18" s="2">
        <v>20</v>
      </c>
      <c r="CL18" s="2">
        <v>20</v>
      </c>
      <c r="CM18" s="2">
        <v>60</v>
      </c>
      <c r="CN18" s="2">
        <v>10</v>
      </c>
      <c r="CO18" s="2">
        <v>20</v>
      </c>
      <c r="CP18" s="2">
        <v>100</v>
      </c>
      <c r="CQ18" s="2">
        <v>50</v>
      </c>
      <c r="CR18" s="2">
        <v>80</v>
      </c>
      <c r="CS18" s="2">
        <v>60</v>
      </c>
      <c r="CT18" s="2">
        <v>80</v>
      </c>
      <c r="CU18" s="2">
        <v>40</v>
      </c>
      <c r="CV18" s="2">
        <v>40</v>
      </c>
      <c r="CW18" s="2">
        <v>40</v>
      </c>
      <c r="CX18" s="2">
        <v>20</v>
      </c>
      <c r="CY18" s="2">
        <v>70</v>
      </c>
      <c r="CZ18" s="2">
        <v>80</v>
      </c>
      <c r="DA18" s="2">
        <v>60</v>
      </c>
      <c r="DB18" s="2">
        <v>20</v>
      </c>
      <c r="DC18" s="2">
        <v>10</v>
      </c>
      <c r="DD18" s="2">
        <v>10</v>
      </c>
      <c r="DE18" s="2">
        <v>80</v>
      </c>
      <c r="DF18" s="2">
        <v>10</v>
      </c>
      <c r="DG18" s="2">
        <v>50</v>
      </c>
      <c r="DH18" s="2">
        <v>80</v>
      </c>
      <c r="DI18" s="2">
        <v>20</v>
      </c>
      <c r="DJ18" s="2">
        <v>70</v>
      </c>
      <c r="DK18" s="2">
        <v>40</v>
      </c>
      <c r="DL18" s="2">
        <v>40</v>
      </c>
      <c r="DM18" s="2">
        <v>10</v>
      </c>
      <c r="DN18" s="2">
        <v>50</v>
      </c>
      <c r="DO18" s="2">
        <v>40</v>
      </c>
      <c r="DP18" s="2">
        <v>100</v>
      </c>
      <c r="DQ18" s="2">
        <v>30</v>
      </c>
      <c r="DR18" s="2">
        <v>100</v>
      </c>
      <c r="DS18" s="2">
        <v>10</v>
      </c>
      <c r="DT18" s="2">
        <v>50</v>
      </c>
      <c r="DU18" s="2">
        <v>60</v>
      </c>
      <c r="DV18" s="2">
        <v>50</v>
      </c>
      <c r="DW18" s="2">
        <v>30</v>
      </c>
      <c r="DX18" s="2">
        <v>40</v>
      </c>
      <c r="DY18" s="2">
        <v>20</v>
      </c>
      <c r="DZ18" s="2">
        <v>10</v>
      </c>
      <c r="EA18" s="2">
        <v>90</v>
      </c>
      <c r="EB18" s="2">
        <v>80</v>
      </c>
      <c r="EC18" s="2">
        <v>60</v>
      </c>
      <c r="ED18" s="2">
        <v>20</v>
      </c>
      <c r="EE18" s="2">
        <v>10</v>
      </c>
      <c r="EF18" s="2">
        <v>30</v>
      </c>
      <c r="EG18" s="2">
        <v>20</v>
      </c>
      <c r="EH18" s="2">
        <v>70</v>
      </c>
      <c r="EI18" s="2">
        <v>50</v>
      </c>
      <c r="EJ18" s="2">
        <v>90</v>
      </c>
      <c r="EK18" s="2">
        <v>30</v>
      </c>
      <c r="EL18" s="2">
        <v>20</v>
      </c>
      <c r="EM18" s="2">
        <v>100</v>
      </c>
      <c r="EN18" s="2">
        <v>20</v>
      </c>
    </row>
    <row r="19" spans="2:145" x14ac:dyDescent="0.3">
      <c r="B19" s="9">
        <v>0.66666666666666696</v>
      </c>
      <c r="C19" s="2">
        <v>20</v>
      </c>
      <c r="D19" s="2">
        <v>80</v>
      </c>
      <c r="E19" s="2">
        <v>50</v>
      </c>
      <c r="F19" s="2">
        <v>70</v>
      </c>
      <c r="G19" s="2">
        <v>30</v>
      </c>
      <c r="H19" s="2">
        <v>20</v>
      </c>
      <c r="I19" s="2">
        <v>50</v>
      </c>
      <c r="J19" s="2">
        <v>80</v>
      </c>
      <c r="K19" s="2">
        <v>20</v>
      </c>
      <c r="L19" s="2">
        <v>10</v>
      </c>
      <c r="M19" s="2">
        <v>90</v>
      </c>
      <c r="N19" s="2">
        <v>70</v>
      </c>
      <c r="O19" s="2">
        <v>10</v>
      </c>
      <c r="P19" s="2">
        <v>100</v>
      </c>
      <c r="Q19" s="2">
        <v>80</v>
      </c>
      <c r="R19" s="2">
        <v>50</v>
      </c>
      <c r="S19" s="2">
        <v>40</v>
      </c>
      <c r="T19" s="2">
        <v>30</v>
      </c>
      <c r="U19" s="2">
        <v>80</v>
      </c>
      <c r="V19" s="2">
        <v>10</v>
      </c>
      <c r="W19" s="2">
        <v>40</v>
      </c>
      <c r="X19" s="2">
        <v>40</v>
      </c>
      <c r="Y19" s="2">
        <v>10</v>
      </c>
      <c r="Z19" s="2">
        <v>60</v>
      </c>
      <c r="AA19" s="2">
        <v>80</v>
      </c>
      <c r="AB19" s="2">
        <v>20</v>
      </c>
      <c r="AC19" s="2">
        <v>40</v>
      </c>
      <c r="AD19" s="2">
        <v>90</v>
      </c>
      <c r="AE19" s="2">
        <v>30</v>
      </c>
      <c r="AF19" s="2">
        <v>60</v>
      </c>
      <c r="AG19" s="2">
        <v>10</v>
      </c>
      <c r="AH19" s="2">
        <v>100</v>
      </c>
      <c r="AI19" s="2">
        <v>30</v>
      </c>
      <c r="AJ19" s="2">
        <v>80</v>
      </c>
      <c r="AK19" s="2">
        <v>30</v>
      </c>
      <c r="AL19" s="2">
        <v>90</v>
      </c>
      <c r="AM19" s="2">
        <v>90</v>
      </c>
      <c r="AN19" s="2">
        <v>20</v>
      </c>
      <c r="AO19" s="2">
        <v>10</v>
      </c>
      <c r="AP19" s="2">
        <v>20</v>
      </c>
      <c r="AQ19" s="2">
        <v>80</v>
      </c>
      <c r="AR19" s="2">
        <v>70</v>
      </c>
      <c r="AS19" s="2">
        <v>80</v>
      </c>
      <c r="AT19" s="2">
        <v>20</v>
      </c>
      <c r="AU19" s="2">
        <v>100</v>
      </c>
      <c r="AV19" s="2">
        <v>10</v>
      </c>
      <c r="AW19" s="2">
        <v>80</v>
      </c>
      <c r="AX19" s="2">
        <v>10</v>
      </c>
      <c r="AY19" s="2">
        <v>20</v>
      </c>
      <c r="AZ19" s="2">
        <v>90</v>
      </c>
      <c r="BA19" s="2">
        <v>50</v>
      </c>
      <c r="BB19" s="2">
        <v>40</v>
      </c>
      <c r="BC19" s="2">
        <v>20</v>
      </c>
      <c r="BD19" s="2">
        <v>30</v>
      </c>
      <c r="BE19" s="2">
        <v>80</v>
      </c>
      <c r="BF19" s="2">
        <v>60</v>
      </c>
      <c r="BG19" s="2">
        <v>40</v>
      </c>
      <c r="BH19" s="2">
        <v>60</v>
      </c>
      <c r="BI19" s="2">
        <v>70</v>
      </c>
      <c r="BJ19" s="2">
        <v>20</v>
      </c>
      <c r="BK19" s="2">
        <v>70</v>
      </c>
      <c r="BL19" s="2">
        <v>10</v>
      </c>
      <c r="BM19" s="2">
        <v>90</v>
      </c>
      <c r="BN19" s="2">
        <v>70</v>
      </c>
      <c r="BO19" s="2">
        <v>90</v>
      </c>
      <c r="BP19" s="2">
        <v>20</v>
      </c>
      <c r="BQ19" s="2">
        <v>30</v>
      </c>
      <c r="BR19" s="2">
        <v>80</v>
      </c>
      <c r="BS19" s="2">
        <v>70</v>
      </c>
      <c r="BT19" s="2">
        <v>50</v>
      </c>
      <c r="BU19" s="2">
        <v>80</v>
      </c>
      <c r="BV19" s="2">
        <v>90</v>
      </c>
      <c r="BW19" s="2">
        <v>90</v>
      </c>
      <c r="BX19" s="2">
        <v>30</v>
      </c>
      <c r="BY19" s="2">
        <v>50</v>
      </c>
      <c r="BZ19" s="2">
        <v>100</v>
      </c>
      <c r="CA19" s="2">
        <v>20</v>
      </c>
      <c r="CB19" s="2">
        <v>40</v>
      </c>
      <c r="CC19" s="2">
        <v>20</v>
      </c>
      <c r="CD19" s="2">
        <v>70</v>
      </c>
      <c r="CE19" s="2">
        <v>70</v>
      </c>
      <c r="CF19" s="2">
        <v>20</v>
      </c>
      <c r="CG19" s="2">
        <v>100</v>
      </c>
      <c r="CH19" s="2">
        <v>30</v>
      </c>
      <c r="CI19" s="2">
        <v>100</v>
      </c>
      <c r="CJ19" s="2">
        <v>20</v>
      </c>
      <c r="CK19" s="2">
        <v>20</v>
      </c>
      <c r="CL19" s="2">
        <v>20</v>
      </c>
      <c r="CM19" s="2">
        <v>10</v>
      </c>
      <c r="CN19" s="2">
        <v>10</v>
      </c>
      <c r="CO19" s="2">
        <v>40</v>
      </c>
      <c r="CP19" s="2">
        <v>30</v>
      </c>
      <c r="CQ19" s="2">
        <v>30</v>
      </c>
      <c r="CR19" s="2">
        <v>70</v>
      </c>
      <c r="CS19" s="2">
        <v>40</v>
      </c>
      <c r="CT19" s="2">
        <v>30</v>
      </c>
      <c r="CU19" s="2">
        <v>20</v>
      </c>
      <c r="CV19" s="2">
        <v>30</v>
      </c>
      <c r="CW19" s="2">
        <v>70</v>
      </c>
      <c r="CX19" s="2">
        <v>60</v>
      </c>
      <c r="CY19" s="2">
        <v>60</v>
      </c>
      <c r="CZ19" s="2">
        <v>90</v>
      </c>
      <c r="DA19" s="2">
        <v>50</v>
      </c>
      <c r="DB19" s="2">
        <v>80</v>
      </c>
      <c r="DC19" s="2">
        <v>100</v>
      </c>
      <c r="DD19" s="2">
        <v>60</v>
      </c>
      <c r="DE19" s="2">
        <v>20</v>
      </c>
      <c r="DF19" s="2">
        <v>70</v>
      </c>
      <c r="DG19" s="2">
        <v>50</v>
      </c>
      <c r="DH19" s="2">
        <v>70</v>
      </c>
      <c r="DI19" s="2">
        <v>40</v>
      </c>
      <c r="DJ19" s="2">
        <v>20</v>
      </c>
      <c r="DK19" s="2">
        <v>60</v>
      </c>
      <c r="DL19" s="2">
        <v>40</v>
      </c>
      <c r="DM19" s="2">
        <v>20</v>
      </c>
      <c r="DN19" s="2">
        <v>50</v>
      </c>
      <c r="DO19" s="2">
        <v>70</v>
      </c>
      <c r="DP19" s="2">
        <v>30</v>
      </c>
      <c r="DQ19" s="2">
        <v>30</v>
      </c>
      <c r="DR19" s="2">
        <v>50</v>
      </c>
      <c r="DS19" s="2">
        <v>20</v>
      </c>
      <c r="DT19" s="2">
        <v>70</v>
      </c>
      <c r="DU19" s="2">
        <v>20</v>
      </c>
      <c r="DV19" s="2">
        <v>70</v>
      </c>
      <c r="DW19" s="2">
        <v>90</v>
      </c>
      <c r="DX19" s="2">
        <v>70</v>
      </c>
      <c r="DY19" s="2">
        <v>100</v>
      </c>
      <c r="DZ19" s="2">
        <v>80</v>
      </c>
      <c r="EA19" s="2">
        <v>40</v>
      </c>
      <c r="EB19" s="2">
        <v>20</v>
      </c>
      <c r="EC19" s="2">
        <v>20</v>
      </c>
      <c r="ED19" s="2">
        <v>90</v>
      </c>
      <c r="EE19" s="2">
        <v>10</v>
      </c>
      <c r="EF19" s="2">
        <v>60</v>
      </c>
      <c r="EG19" s="2">
        <v>10</v>
      </c>
      <c r="EH19" s="2">
        <v>20</v>
      </c>
      <c r="EI19" s="2">
        <v>60</v>
      </c>
      <c r="EJ19" s="2">
        <v>40</v>
      </c>
      <c r="EK19" s="2">
        <v>50</v>
      </c>
      <c r="EL19" s="2">
        <v>80</v>
      </c>
      <c r="EM19" s="2">
        <v>80</v>
      </c>
      <c r="EN19" s="2">
        <v>40</v>
      </c>
    </row>
    <row r="20" spans="2:145" x14ac:dyDescent="0.3">
      <c r="B20" s="9">
        <v>0.70833333333333304</v>
      </c>
      <c r="C20" s="2">
        <v>100</v>
      </c>
      <c r="D20" s="2">
        <v>20</v>
      </c>
      <c r="E20" s="2">
        <v>80</v>
      </c>
      <c r="F20" s="2">
        <v>20</v>
      </c>
      <c r="G20" s="2">
        <v>40</v>
      </c>
      <c r="H20" s="2">
        <v>100</v>
      </c>
      <c r="I20" s="2">
        <v>10</v>
      </c>
      <c r="J20" s="2">
        <v>20</v>
      </c>
      <c r="K20" s="2">
        <v>20</v>
      </c>
      <c r="L20" s="2">
        <v>100</v>
      </c>
      <c r="M20" s="2">
        <v>70</v>
      </c>
      <c r="N20" s="2">
        <v>30</v>
      </c>
      <c r="O20" s="2">
        <v>90</v>
      </c>
      <c r="P20" s="2">
        <v>90</v>
      </c>
      <c r="Q20" s="2">
        <v>80</v>
      </c>
      <c r="R20" s="2">
        <v>50</v>
      </c>
      <c r="S20" s="2">
        <v>60</v>
      </c>
      <c r="T20" s="2">
        <v>80</v>
      </c>
      <c r="U20" s="2">
        <v>70</v>
      </c>
      <c r="V20" s="2">
        <v>60</v>
      </c>
      <c r="W20" s="2">
        <v>20</v>
      </c>
      <c r="X20" s="2">
        <v>60</v>
      </c>
      <c r="Y20" s="2">
        <v>20</v>
      </c>
      <c r="Z20" s="2">
        <v>40</v>
      </c>
      <c r="AA20" s="2">
        <v>80</v>
      </c>
      <c r="AB20" s="2">
        <v>90</v>
      </c>
      <c r="AC20" s="2">
        <v>10</v>
      </c>
      <c r="AD20" s="2">
        <v>60</v>
      </c>
      <c r="AE20" s="2">
        <v>50</v>
      </c>
      <c r="AF20" s="2">
        <v>20</v>
      </c>
      <c r="AG20" s="2">
        <v>20</v>
      </c>
      <c r="AH20" s="2">
        <v>80</v>
      </c>
      <c r="AI20" s="2">
        <v>80</v>
      </c>
      <c r="AJ20" s="2">
        <v>90</v>
      </c>
      <c r="AK20" s="2">
        <v>70</v>
      </c>
      <c r="AL20" s="2">
        <v>100</v>
      </c>
      <c r="AM20" s="2">
        <v>80</v>
      </c>
      <c r="AN20" s="2">
        <v>100</v>
      </c>
      <c r="AO20" s="2">
        <v>20</v>
      </c>
      <c r="AP20" s="2">
        <v>60</v>
      </c>
      <c r="AQ20" s="2">
        <v>50</v>
      </c>
      <c r="AR20" s="2">
        <v>20</v>
      </c>
      <c r="AS20" s="2">
        <v>80</v>
      </c>
      <c r="AT20" s="2">
        <v>80</v>
      </c>
      <c r="AU20" s="2">
        <v>90</v>
      </c>
      <c r="AV20" s="2">
        <v>70</v>
      </c>
      <c r="AW20" s="2">
        <v>40</v>
      </c>
      <c r="AX20" s="2">
        <v>80</v>
      </c>
      <c r="AY20" s="2">
        <v>90</v>
      </c>
      <c r="AZ20" s="2">
        <v>80</v>
      </c>
      <c r="BA20" s="2">
        <v>80</v>
      </c>
      <c r="BB20" s="2">
        <v>70</v>
      </c>
      <c r="BC20" s="2">
        <v>30</v>
      </c>
      <c r="BD20" s="2">
        <v>70</v>
      </c>
      <c r="BE20" s="2">
        <v>20</v>
      </c>
      <c r="BF20" s="2">
        <v>100</v>
      </c>
      <c r="BG20" s="2">
        <v>100</v>
      </c>
      <c r="BH20" s="2">
        <v>60</v>
      </c>
      <c r="BI20" s="2">
        <v>70</v>
      </c>
      <c r="BJ20" s="2">
        <v>70</v>
      </c>
      <c r="BK20" s="2">
        <v>20</v>
      </c>
      <c r="BL20" s="2">
        <v>60</v>
      </c>
      <c r="BM20" s="2">
        <v>100</v>
      </c>
      <c r="BN20" s="2">
        <v>50</v>
      </c>
      <c r="BO20" s="2">
        <v>70</v>
      </c>
      <c r="BP20" s="2">
        <v>70</v>
      </c>
      <c r="BQ20" s="2">
        <v>40</v>
      </c>
      <c r="BR20" s="2">
        <v>70</v>
      </c>
      <c r="BS20" s="2">
        <v>40</v>
      </c>
      <c r="BT20" s="2">
        <v>90</v>
      </c>
      <c r="BU20" s="2">
        <v>80</v>
      </c>
      <c r="BV20" s="2">
        <v>60</v>
      </c>
      <c r="BW20" s="2">
        <v>50</v>
      </c>
      <c r="BX20" s="2">
        <v>50</v>
      </c>
      <c r="BY20" s="2">
        <v>10</v>
      </c>
      <c r="BZ20" s="2">
        <v>90</v>
      </c>
      <c r="CA20" s="2">
        <v>10</v>
      </c>
      <c r="CB20" s="2">
        <v>10</v>
      </c>
      <c r="CC20" s="2">
        <v>60</v>
      </c>
      <c r="CD20" s="2">
        <v>50</v>
      </c>
      <c r="CE20" s="2">
        <v>20</v>
      </c>
      <c r="CF20" s="2">
        <v>20</v>
      </c>
      <c r="CG20" s="2">
        <v>50</v>
      </c>
      <c r="CH20" s="2">
        <v>10</v>
      </c>
      <c r="CI20" s="2">
        <v>10</v>
      </c>
      <c r="CJ20" s="2">
        <v>50</v>
      </c>
      <c r="CK20" s="2">
        <v>70</v>
      </c>
      <c r="CL20" s="2">
        <v>100</v>
      </c>
      <c r="CM20" s="2">
        <v>60</v>
      </c>
      <c r="CN20" s="2">
        <v>70</v>
      </c>
      <c r="CO20" s="2">
        <v>40</v>
      </c>
      <c r="CP20" s="2">
        <v>20</v>
      </c>
      <c r="CQ20" s="2">
        <v>20</v>
      </c>
      <c r="CR20" s="2">
        <v>100</v>
      </c>
      <c r="CS20" s="2">
        <v>20</v>
      </c>
      <c r="CT20" s="2">
        <v>40</v>
      </c>
      <c r="CU20" s="2">
        <v>50</v>
      </c>
      <c r="CV20" s="2">
        <v>30</v>
      </c>
      <c r="CW20" s="2">
        <v>100</v>
      </c>
      <c r="CX20" s="2">
        <v>20</v>
      </c>
      <c r="CY20" s="2">
        <v>70</v>
      </c>
      <c r="CZ20" s="2">
        <v>70</v>
      </c>
      <c r="DA20" s="2">
        <v>20</v>
      </c>
      <c r="DB20" s="2">
        <v>60</v>
      </c>
      <c r="DC20" s="2">
        <v>40</v>
      </c>
      <c r="DD20" s="2">
        <v>90</v>
      </c>
      <c r="DE20" s="2">
        <v>10</v>
      </c>
      <c r="DF20" s="2">
        <v>70</v>
      </c>
      <c r="DG20" s="2">
        <v>40</v>
      </c>
      <c r="DH20" s="2">
        <v>50</v>
      </c>
      <c r="DI20" s="2">
        <v>20</v>
      </c>
      <c r="DJ20" s="2">
        <v>50</v>
      </c>
      <c r="DK20" s="2">
        <v>20</v>
      </c>
      <c r="DL20" s="2">
        <v>30</v>
      </c>
      <c r="DM20" s="2">
        <v>50</v>
      </c>
      <c r="DN20" s="2">
        <v>50</v>
      </c>
      <c r="DO20" s="2">
        <v>50</v>
      </c>
      <c r="DP20" s="2">
        <v>60</v>
      </c>
      <c r="DQ20" s="2">
        <v>20</v>
      </c>
      <c r="DR20" s="2">
        <v>40</v>
      </c>
      <c r="DS20" s="2">
        <v>30</v>
      </c>
      <c r="DT20" s="2">
        <v>20</v>
      </c>
      <c r="DU20" s="2">
        <v>90</v>
      </c>
      <c r="DV20" s="2">
        <v>100</v>
      </c>
      <c r="DW20" s="2">
        <v>100</v>
      </c>
      <c r="DX20" s="2">
        <v>80</v>
      </c>
      <c r="DY20" s="2">
        <v>50</v>
      </c>
      <c r="DZ20" s="2">
        <v>70</v>
      </c>
      <c r="EA20" s="2">
        <v>100</v>
      </c>
      <c r="EB20" s="2">
        <v>100</v>
      </c>
      <c r="EC20" s="2">
        <v>20</v>
      </c>
      <c r="ED20" s="2">
        <v>70</v>
      </c>
      <c r="EE20" s="2">
        <v>10</v>
      </c>
      <c r="EF20" s="2">
        <v>20</v>
      </c>
      <c r="EG20" s="2">
        <v>10</v>
      </c>
      <c r="EH20" s="2">
        <v>70</v>
      </c>
      <c r="EI20" s="2">
        <v>80</v>
      </c>
      <c r="EJ20" s="2">
        <v>20</v>
      </c>
      <c r="EK20" s="2">
        <v>10</v>
      </c>
      <c r="EL20" s="2">
        <v>40</v>
      </c>
      <c r="EM20" s="2">
        <v>20</v>
      </c>
      <c r="EN20" s="2">
        <v>60</v>
      </c>
    </row>
    <row r="21" spans="2:145" x14ac:dyDescent="0.3">
      <c r="B21" s="9">
        <v>0.75</v>
      </c>
      <c r="C21" s="2">
        <v>50</v>
      </c>
      <c r="D21" s="2">
        <v>30</v>
      </c>
      <c r="E21" s="2">
        <v>100</v>
      </c>
      <c r="F21" s="2">
        <v>10</v>
      </c>
      <c r="G21" s="2">
        <v>30</v>
      </c>
      <c r="H21" s="2">
        <v>20</v>
      </c>
      <c r="I21" s="2">
        <v>30</v>
      </c>
      <c r="J21" s="2">
        <v>70</v>
      </c>
      <c r="K21" s="2">
        <v>10</v>
      </c>
      <c r="L21" s="2">
        <v>20</v>
      </c>
      <c r="M21" s="2">
        <v>70</v>
      </c>
      <c r="N21" s="2">
        <v>70</v>
      </c>
      <c r="O21" s="2">
        <v>80</v>
      </c>
      <c r="P21" s="2">
        <v>40</v>
      </c>
      <c r="Q21" s="2">
        <v>80</v>
      </c>
      <c r="R21" s="2">
        <v>100</v>
      </c>
      <c r="S21" s="2">
        <v>70</v>
      </c>
      <c r="T21" s="2">
        <v>30</v>
      </c>
      <c r="U21" s="2">
        <v>100</v>
      </c>
      <c r="V21" s="2">
        <v>30</v>
      </c>
      <c r="W21" s="2">
        <v>30</v>
      </c>
      <c r="X21" s="2">
        <v>50</v>
      </c>
      <c r="Y21" s="2">
        <v>30</v>
      </c>
      <c r="Z21" s="2">
        <v>30</v>
      </c>
      <c r="AA21" s="2">
        <v>70</v>
      </c>
      <c r="AB21" s="2">
        <v>90</v>
      </c>
      <c r="AC21" s="2">
        <v>70</v>
      </c>
      <c r="AD21" s="2">
        <v>50</v>
      </c>
      <c r="AE21" s="2">
        <v>80</v>
      </c>
      <c r="AF21" s="2">
        <v>90</v>
      </c>
      <c r="AG21" s="2">
        <v>30</v>
      </c>
      <c r="AH21" s="2">
        <v>40</v>
      </c>
      <c r="AI21" s="2">
        <v>80</v>
      </c>
      <c r="AJ21" s="2">
        <v>40</v>
      </c>
      <c r="AK21" s="2">
        <v>80</v>
      </c>
      <c r="AL21" s="2">
        <v>40</v>
      </c>
      <c r="AM21" s="2">
        <v>20</v>
      </c>
      <c r="AN21" s="2">
        <v>30</v>
      </c>
      <c r="AO21" s="2">
        <v>30</v>
      </c>
      <c r="AP21" s="2">
        <v>10</v>
      </c>
      <c r="AQ21" s="2">
        <v>40</v>
      </c>
      <c r="AR21" s="2">
        <v>70</v>
      </c>
      <c r="AS21" s="2">
        <v>20</v>
      </c>
      <c r="AT21" s="2">
        <v>100</v>
      </c>
      <c r="AU21" s="2">
        <v>100</v>
      </c>
      <c r="AV21" s="2">
        <v>50</v>
      </c>
      <c r="AW21" s="2">
        <v>20</v>
      </c>
      <c r="AX21" s="2">
        <v>80</v>
      </c>
      <c r="AY21" s="2">
        <v>30</v>
      </c>
      <c r="AZ21" s="2">
        <v>20</v>
      </c>
      <c r="BA21" s="2">
        <v>50</v>
      </c>
      <c r="BB21" s="2">
        <v>70</v>
      </c>
      <c r="BC21" s="2">
        <v>20</v>
      </c>
      <c r="BD21" s="2">
        <v>30</v>
      </c>
      <c r="BE21" s="2">
        <v>30</v>
      </c>
      <c r="BF21" s="2">
        <v>30</v>
      </c>
      <c r="BG21" s="2">
        <v>20</v>
      </c>
      <c r="BH21" s="2">
        <v>100</v>
      </c>
      <c r="BI21" s="2">
        <v>40</v>
      </c>
      <c r="BJ21" s="2">
        <v>90</v>
      </c>
      <c r="BK21" s="2">
        <v>30</v>
      </c>
      <c r="BL21" s="2">
        <v>40</v>
      </c>
      <c r="BM21" s="2">
        <v>90</v>
      </c>
      <c r="BN21" s="2">
        <v>60</v>
      </c>
      <c r="BO21" s="2">
        <v>20</v>
      </c>
      <c r="BP21" s="2">
        <v>100</v>
      </c>
      <c r="BQ21" s="2">
        <v>40</v>
      </c>
      <c r="BR21" s="2">
        <v>30</v>
      </c>
      <c r="BS21" s="2">
        <v>80</v>
      </c>
      <c r="BT21" s="2">
        <v>50</v>
      </c>
      <c r="BU21" s="2">
        <v>20</v>
      </c>
      <c r="BV21" s="2">
        <v>100</v>
      </c>
      <c r="BW21" s="2">
        <v>40</v>
      </c>
      <c r="BX21" s="2">
        <v>100</v>
      </c>
      <c r="BY21" s="2">
        <v>90</v>
      </c>
      <c r="BZ21" s="2">
        <v>80</v>
      </c>
      <c r="CA21" s="2">
        <v>100</v>
      </c>
      <c r="CB21" s="2">
        <v>20</v>
      </c>
      <c r="CC21" s="2">
        <v>30</v>
      </c>
      <c r="CD21" s="2">
        <v>40</v>
      </c>
      <c r="CE21" s="2">
        <v>40</v>
      </c>
      <c r="CF21" s="2">
        <v>80</v>
      </c>
      <c r="CG21" s="2">
        <v>50</v>
      </c>
      <c r="CH21" s="2">
        <v>50</v>
      </c>
      <c r="CI21" s="2">
        <v>50</v>
      </c>
      <c r="CJ21" s="2">
        <v>100</v>
      </c>
      <c r="CK21" s="2">
        <v>50</v>
      </c>
      <c r="CL21" s="2">
        <v>90</v>
      </c>
      <c r="CM21" s="2">
        <v>10</v>
      </c>
      <c r="CN21" s="2">
        <v>20</v>
      </c>
      <c r="CO21" s="2">
        <v>90</v>
      </c>
      <c r="CP21" s="2">
        <v>30</v>
      </c>
      <c r="CQ21" s="2">
        <v>40</v>
      </c>
      <c r="CR21" s="2">
        <v>20</v>
      </c>
      <c r="CS21" s="2">
        <v>80</v>
      </c>
      <c r="CT21" s="2">
        <v>30</v>
      </c>
      <c r="CU21" s="2">
        <v>40</v>
      </c>
      <c r="CV21" s="2">
        <v>10</v>
      </c>
      <c r="CW21" s="2">
        <v>60</v>
      </c>
      <c r="CX21" s="2">
        <v>70</v>
      </c>
      <c r="CY21" s="2">
        <v>10</v>
      </c>
      <c r="CZ21" s="2">
        <v>50</v>
      </c>
      <c r="DA21" s="2">
        <v>20</v>
      </c>
      <c r="DB21" s="2">
        <v>20</v>
      </c>
      <c r="DC21" s="2">
        <v>30</v>
      </c>
      <c r="DD21" s="2">
        <v>80</v>
      </c>
      <c r="DE21" s="2">
        <v>70</v>
      </c>
      <c r="DF21" s="2">
        <v>90</v>
      </c>
      <c r="DG21" s="2">
        <v>100</v>
      </c>
      <c r="DH21" s="2">
        <v>30</v>
      </c>
      <c r="DI21" s="2">
        <v>40</v>
      </c>
      <c r="DJ21" s="2">
        <v>30</v>
      </c>
      <c r="DK21" s="2">
        <v>100</v>
      </c>
      <c r="DL21" s="2">
        <v>50</v>
      </c>
      <c r="DM21" s="2">
        <v>80</v>
      </c>
      <c r="DN21" s="2">
        <v>100</v>
      </c>
      <c r="DO21" s="2">
        <v>20</v>
      </c>
      <c r="DP21" s="2">
        <v>10</v>
      </c>
      <c r="DQ21" s="2">
        <v>40</v>
      </c>
      <c r="DR21" s="2">
        <v>10</v>
      </c>
      <c r="DS21" s="2">
        <v>70</v>
      </c>
      <c r="DT21" s="2">
        <v>90</v>
      </c>
      <c r="DU21" s="2">
        <v>80</v>
      </c>
      <c r="DV21" s="2">
        <v>60</v>
      </c>
      <c r="DW21" s="2">
        <v>10</v>
      </c>
      <c r="DX21" s="2">
        <v>30</v>
      </c>
      <c r="DY21" s="2">
        <v>70</v>
      </c>
      <c r="DZ21" s="2">
        <v>80</v>
      </c>
      <c r="EA21" s="2">
        <v>20</v>
      </c>
      <c r="EB21" s="2">
        <v>70</v>
      </c>
      <c r="EC21" s="2">
        <v>20</v>
      </c>
      <c r="ED21" s="2">
        <v>50</v>
      </c>
      <c r="EE21" s="2">
        <v>100</v>
      </c>
      <c r="EF21" s="2">
        <v>50</v>
      </c>
      <c r="EG21" s="2">
        <v>20</v>
      </c>
      <c r="EH21" s="2">
        <v>50</v>
      </c>
      <c r="EI21" s="2">
        <v>100</v>
      </c>
      <c r="EJ21" s="2">
        <v>60</v>
      </c>
      <c r="EK21" s="2">
        <v>20</v>
      </c>
      <c r="EL21" s="2">
        <v>60</v>
      </c>
      <c r="EM21" s="2">
        <v>70</v>
      </c>
      <c r="EN21" s="2">
        <v>50</v>
      </c>
    </row>
    <row r="22" spans="2:145" x14ac:dyDescent="0.3">
      <c r="B22" s="9">
        <v>0.79166666666666596</v>
      </c>
      <c r="C22" s="2">
        <v>20</v>
      </c>
      <c r="D22" s="2">
        <v>30</v>
      </c>
      <c r="E22" s="2">
        <v>30</v>
      </c>
      <c r="F22" s="2">
        <v>10</v>
      </c>
      <c r="G22" s="2">
        <v>50</v>
      </c>
      <c r="H22" s="2">
        <v>70</v>
      </c>
      <c r="I22" s="2">
        <v>50</v>
      </c>
      <c r="J22" s="2">
        <v>80</v>
      </c>
      <c r="K22" s="2">
        <v>50</v>
      </c>
      <c r="L22" s="2">
        <v>70</v>
      </c>
      <c r="M22" s="2">
        <v>70</v>
      </c>
      <c r="N22" s="2">
        <v>50</v>
      </c>
      <c r="O22" s="2">
        <v>80</v>
      </c>
      <c r="P22" s="2">
        <v>80</v>
      </c>
      <c r="Q22" s="2">
        <v>60</v>
      </c>
      <c r="R22" s="2">
        <v>20</v>
      </c>
      <c r="S22" s="2">
        <v>80</v>
      </c>
      <c r="T22" s="2">
        <v>30</v>
      </c>
      <c r="U22" s="2">
        <v>40</v>
      </c>
      <c r="V22" s="2">
        <v>20</v>
      </c>
      <c r="W22" s="2">
        <v>30</v>
      </c>
      <c r="X22" s="2">
        <v>70</v>
      </c>
      <c r="Y22" s="2">
        <v>50</v>
      </c>
      <c r="Z22" s="2">
        <v>70</v>
      </c>
      <c r="AA22" s="2">
        <v>40</v>
      </c>
      <c r="AB22" s="2">
        <v>40</v>
      </c>
      <c r="AC22" s="2">
        <v>40</v>
      </c>
      <c r="AD22" s="2">
        <v>20</v>
      </c>
      <c r="AE22" s="2">
        <v>50</v>
      </c>
      <c r="AF22" s="2">
        <v>10</v>
      </c>
      <c r="AG22" s="2">
        <v>60</v>
      </c>
      <c r="AH22" s="2">
        <v>50</v>
      </c>
      <c r="AI22" s="2">
        <v>80</v>
      </c>
      <c r="AJ22" s="2">
        <v>20</v>
      </c>
      <c r="AK22" s="2">
        <v>20</v>
      </c>
      <c r="AL22" s="2">
        <v>90</v>
      </c>
      <c r="AM22" s="2">
        <v>70</v>
      </c>
      <c r="AN22" s="2">
        <v>30</v>
      </c>
      <c r="AO22" s="2">
        <v>100</v>
      </c>
      <c r="AP22" s="2">
        <v>10</v>
      </c>
      <c r="AQ22" s="2">
        <v>100</v>
      </c>
      <c r="AR22" s="2">
        <v>60</v>
      </c>
      <c r="AS22" s="2">
        <v>20</v>
      </c>
      <c r="AT22" s="2">
        <v>10</v>
      </c>
      <c r="AU22" s="2">
        <v>30</v>
      </c>
      <c r="AV22" s="2">
        <v>100</v>
      </c>
      <c r="AW22" s="2">
        <v>40</v>
      </c>
      <c r="AX22" s="2">
        <v>100</v>
      </c>
      <c r="AY22" s="2">
        <v>30</v>
      </c>
      <c r="AZ22" s="2">
        <v>30</v>
      </c>
      <c r="BA22" s="2">
        <v>40</v>
      </c>
      <c r="BB22" s="2">
        <v>20</v>
      </c>
      <c r="BC22" s="2">
        <v>50</v>
      </c>
      <c r="BD22" s="2">
        <v>100</v>
      </c>
      <c r="BE22" s="2">
        <v>50</v>
      </c>
      <c r="BF22" s="2">
        <v>70</v>
      </c>
      <c r="BG22" s="2">
        <v>70</v>
      </c>
      <c r="BH22" s="2">
        <v>20</v>
      </c>
      <c r="BI22" s="2">
        <v>20</v>
      </c>
      <c r="BJ22" s="2">
        <v>90</v>
      </c>
      <c r="BK22" s="2">
        <v>20</v>
      </c>
      <c r="BL22" s="2">
        <v>40</v>
      </c>
      <c r="BM22" s="2">
        <v>20</v>
      </c>
      <c r="BN22" s="2">
        <v>40</v>
      </c>
      <c r="BO22" s="2">
        <v>60</v>
      </c>
      <c r="BP22" s="2">
        <v>30</v>
      </c>
      <c r="BQ22" s="2">
        <v>80</v>
      </c>
      <c r="BR22" s="2">
        <v>90</v>
      </c>
      <c r="BS22" s="2">
        <v>30</v>
      </c>
      <c r="BT22" s="2">
        <v>60</v>
      </c>
      <c r="BU22" s="2">
        <v>20</v>
      </c>
      <c r="BV22" s="2">
        <v>20</v>
      </c>
      <c r="BW22" s="2">
        <v>30</v>
      </c>
      <c r="BX22" s="2">
        <v>70</v>
      </c>
      <c r="BY22" s="2">
        <v>80</v>
      </c>
      <c r="BZ22" s="2">
        <v>40</v>
      </c>
      <c r="CA22" s="2">
        <v>50</v>
      </c>
      <c r="CB22" s="2">
        <v>50</v>
      </c>
      <c r="CC22" s="2">
        <v>100</v>
      </c>
      <c r="CD22" s="2">
        <v>90</v>
      </c>
      <c r="CE22" s="2">
        <v>100</v>
      </c>
      <c r="CF22" s="2">
        <v>80</v>
      </c>
      <c r="CG22" s="2">
        <v>10</v>
      </c>
      <c r="CH22" s="2">
        <v>20</v>
      </c>
      <c r="CI22" s="2">
        <v>60</v>
      </c>
      <c r="CJ22" s="2">
        <v>40</v>
      </c>
      <c r="CK22" s="2">
        <v>90</v>
      </c>
      <c r="CL22" s="2">
        <v>80</v>
      </c>
      <c r="CM22" s="2">
        <v>20</v>
      </c>
      <c r="CN22" s="2">
        <v>50</v>
      </c>
      <c r="CO22" s="2">
        <v>90</v>
      </c>
      <c r="CP22" s="2">
        <v>20</v>
      </c>
      <c r="CQ22" s="2">
        <v>60</v>
      </c>
      <c r="CR22" s="2">
        <v>50</v>
      </c>
      <c r="CS22" s="2">
        <v>100</v>
      </c>
      <c r="CT22" s="2">
        <v>100</v>
      </c>
      <c r="CU22" s="2">
        <v>60</v>
      </c>
      <c r="CV22" s="2">
        <v>40</v>
      </c>
      <c r="CW22" s="2">
        <v>60</v>
      </c>
      <c r="CX22" s="2">
        <v>50</v>
      </c>
      <c r="CY22" s="2">
        <v>90</v>
      </c>
      <c r="CZ22" s="2">
        <v>80</v>
      </c>
      <c r="DA22" s="2">
        <v>20</v>
      </c>
      <c r="DB22" s="2">
        <v>20</v>
      </c>
      <c r="DC22" s="2">
        <v>50</v>
      </c>
      <c r="DD22" s="2">
        <v>20</v>
      </c>
      <c r="DE22" s="2">
        <v>20</v>
      </c>
      <c r="DF22" s="2">
        <v>10</v>
      </c>
      <c r="DG22" s="2">
        <v>30</v>
      </c>
      <c r="DH22" s="2">
        <v>80</v>
      </c>
      <c r="DI22" s="2">
        <v>20</v>
      </c>
      <c r="DJ22" s="2">
        <v>100</v>
      </c>
      <c r="DK22" s="2">
        <v>30</v>
      </c>
      <c r="DL22" s="2">
        <v>60</v>
      </c>
      <c r="DM22" s="2">
        <v>40</v>
      </c>
      <c r="DN22" s="2">
        <v>90</v>
      </c>
      <c r="DO22" s="2">
        <v>20</v>
      </c>
      <c r="DP22" s="2">
        <v>50</v>
      </c>
      <c r="DQ22" s="2">
        <v>20</v>
      </c>
      <c r="DR22" s="2">
        <v>70</v>
      </c>
      <c r="DS22" s="2">
        <v>20</v>
      </c>
      <c r="DT22" s="2">
        <v>90</v>
      </c>
      <c r="DU22" s="2">
        <v>70</v>
      </c>
      <c r="DV22" s="2">
        <v>50</v>
      </c>
      <c r="DW22" s="2">
        <v>10</v>
      </c>
      <c r="DX22" s="2">
        <v>80</v>
      </c>
      <c r="DY22" s="2">
        <v>100</v>
      </c>
      <c r="DZ22" s="2">
        <v>50</v>
      </c>
      <c r="EA22" s="2">
        <v>60</v>
      </c>
      <c r="EB22" s="2">
        <v>10</v>
      </c>
      <c r="EC22" s="2">
        <v>20</v>
      </c>
      <c r="ED22" s="2">
        <v>50</v>
      </c>
      <c r="EE22" s="2">
        <v>30</v>
      </c>
      <c r="EF22" s="2">
        <v>80</v>
      </c>
      <c r="EG22" s="2">
        <v>80</v>
      </c>
      <c r="EH22" s="2">
        <v>70</v>
      </c>
      <c r="EI22" s="2">
        <v>70</v>
      </c>
      <c r="EJ22" s="2">
        <v>90</v>
      </c>
      <c r="EK22" s="2">
        <v>80</v>
      </c>
      <c r="EL22" s="2">
        <v>50</v>
      </c>
      <c r="EM22" s="2">
        <v>80</v>
      </c>
      <c r="EN22" s="2">
        <v>100</v>
      </c>
    </row>
    <row r="23" spans="2:145" x14ac:dyDescent="0.3">
      <c r="B23" s="9">
        <v>0.83333333333333304</v>
      </c>
      <c r="C23" s="2">
        <v>100</v>
      </c>
      <c r="D23" s="2">
        <v>50</v>
      </c>
      <c r="E23" s="2">
        <v>70</v>
      </c>
      <c r="F23" s="2">
        <v>100</v>
      </c>
      <c r="G23" s="2">
        <v>20</v>
      </c>
      <c r="H23" s="2">
        <v>20</v>
      </c>
      <c r="I23" s="2">
        <v>100</v>
      </c>
      <c r="J23" s="2">
        <v>20</v>
      </c>
      <c r="K23" s="2">
        <v>80</v>
      </c>
      <c r="L23" s="2">
        <v>20</v>
      </c>
      <c r="M23" s="2">
        <v>90</v>
      </c>
      <c r="N23" s="2">
        <v>20</v>
      </c>
      <c r="O23" s="2">
        <v>60</v>
      </c>
      <c r="P23" s="2">
        <v>20</v>
      </c>
      <c r="Q23" s="2">
        <v>20</v>
      </c>
      <c r="R23" s="2">
        <v>30</v>
      </c>
      <c r="S23" s="2">
        <v>10</v>
      </c>
      <c r="T23" s="2">
        <v>50</v>
      </c>
      <c r="U23" s="2">
        <v>40</v>
      </c>
      <c r="V23" s="2">
        <v>10</v>
      </c>
      <c r="W23" s="2">
        <v>40</v>
      </c>
      <c r="X23" s="2">
        <v>100</v>
      </c>
      <c r="Y23" s="2">
        <v>100</v>
      </c>
      <c r="Z23" s="2">
        <v>40</v>
      </c>
      <c r="AA23" s="2">
        <v>30</v>
      </c>
      <c r="AB23" s="2">
        <v>80</v>
      </c>
      <c r="AC23" s="2">
        <v>50</v>
      </c>
      <c r="AD23" s="2">
        <v>20</v>
      </c>
      <c r="AE23" s="2">
        <v>70</v>
      </c>
      <c r="AF23" s="2">
        <v>20</v>
      </c>
      <c r="AG23" s="2">
        <v>60</v>
      </c>
      <c r="AH23" s="2">
        <v>10</v>
      </c>
      <c r="AI23" s="2">
        <v>10</v>
      </c>
      <c r="AJ23" s="2">
        <v>20</v>
      </c>
      <c r="AK23" s="2">
        <v>50</v>
      </c>
      <c r="AL23" s="2">
        <v>50</v>
      </c>
      <c r="AM23" s="2">
        <v>90</v>
      </c>
      <c r="AN23" s="2">
        <v>20</v>
      </c>
      <c r="AO23" s="2">
        <v>10</v>
      </c>
      <c r="AP23" s="2">
        <v>80</v>
      </c>
      <c r="AQ23" s="2">
        <v>30</v>
      </c>
      <c r="AR23" s="2">
        <v>90</v>
      </c>
      <c r="AS23" s="2">
        <v>70</v>
      </c>
      <c r="AT23" s="2">
        <v>50</v>
      </c>
      <c r="AU23" s="2">
        <v>90</v>
      </c>
      <c r="AV23" s="2">
        <v>50</v>
      </c>
      <c r="AW23" s="2">
        <v>10</v>
      </c>
      <c r="AX23" s="2">
        <v>80</v>
      </c>
      <c r="AY23" s="2">
        <v>100</v>
      </c>
      <c r="AZ23" s="2">
        <v>80</v>
      </c>
      <c r="BA23" s="2">
        <v>30</v>
      </c>
      <c r="BB23" s="2">
        <v>100</v>
      </c>
      <c r="BC23" s="2">
        <v>70</v>
      </c>
      <c r="BD23" s="2">
        <v>30</v>
      </c>
      <c r="BE23" s="2">
        <v>80</v>
      </c>
      <c r="BF23" s="2">
        <v>80</v>
      </c>
      <c r="BG23" s="2">
        <v>20</v>
      </c>
      <c r="BH23" s="2">
        <v>100</v>
      </c>
      <c r="BI23" s="2">
        <v>60</v>
      </c>
      <c r="BJ23" s="2">
        <v>80</v>
      </c>
      <c r="BK23" s="2">
        <v>70</v>
      </c>
      <c r="BL23" s="2">
        <v>20</v>
      </c>
      <c r="BM23" s="2">
        <v>60</v>
      </c>
      <c r="BN23" s="2">
        <v>10</v>
      </c>
      <c r="BO23" s="2">
        <v>100</v>
      </c>
      <c r="BP23" s="2">
        <v>40</v>
      </c>
      <c r="BQ23" s="2">
        <v>90</v>
      </c>
      <c r="BR23" s="2">
        <v>60</v>
      </c>
      <c r="BS23" s="2">
        <v>20</v>
      </c>
      <c r="BT23" s="2">
        <v>70</v>
      </c>
      <c r="BU23" s="2">
        <v>10</v>
      </c>
      <c r="BV23" s="2">
        <v>30</v>
      </c>
      <c r="BW23" s="2">
        <v>70</v>
      </c>
      <c r="BX23" s="2">
        <v>10</v>
      </c>
      <c r="BY23" s="2">
        <v>70</v>
      </c>
      <c r="BZ23" s="2">
        <v>50</v>
      </c>
      <c r="CA23" s="2">
        <v>80</v>
      </c>
      <c r="CB23" s="2">
        <v>50</v>
      </c>
      <c r="CC23" s="2">
        <v>30</v>
      </c>
      <c r="CD23" s="2">
        <v>20</v>
      </c>
      <c r="CE23" s="2">
        <v>40</v>
      </c>
      <c r="CF23" s="2">
        <v>40</v>
      </c>
      <c r="CG23" s="2">
        <v>100</v>
      </c>
      <c r="CH23" s="2">
        <v>20</v>
      </c>
      <c r="CI23" s="2">
        <v>40</v>
      </c>
      <c r="CJ23" s="2">
        <v>30</v>
      </c>
      <c r="CK23" s="2">
        <v>100</v>
      </c>
      <c r="CL23" s="2">
        <v>50</v>
      </c>
      <c r="CM23" s="2">
        <v>10</v>
      </c>
      <c r="CN23" s="2">
        <v>20</v>
      </c>
      <c r="CO23" s="2">
        <v>100</v>
      </c>
      <c r="CP23" s="2">
        <v>20</v>
      </c>
      <c r="CQ23" s="2">
        <v>70</v>
      </c>
      <c r="CR23" s="2">
        <v>40</v>
      </c>
      <c r="CS23" s="2">
        <v>50</v>
      </c>
      <c r="CT23" s="2">
        <v>80</v>
      </c>
      <c r="CU23" s="2">
        <v>30</v>
      </c>
      <c r="CV23" s="2">
        <v>20</v>
      </c>
      <c r="CW23" s="2">
        <v>100</v>
      </c>
      <c r="CX23" s="2">
        <v>10</v>
      </c>
      <c r="CY23" s="2">
        <v>20</v>
      </c>
      <c r="CZ23" s="2">
        <v>10</v>
      </c>
      <c r="DA23" s="2">
        <v>20</v>
      </c>
      <c r="DB23" s="2">
        <v>70</v>
      </c>
      <c r="DC23" s="2">
        <v>90</v>
      </c>
      <c r="DD23" s="2">
        <v>60</v>
      </c>
      <c r="DE23" s="2">
        <v>50</v>
      </c>
      <c r="DF23" s="2">
        <v>80</v>
      </c>
      <c r="DG23" s="2">
        <v>60</v>
      </c>
      <c r="DH23" s="2">
        <v>20</v>
      </c>
      <c r="DI23" s="2">
        <v>60</v>
      </c>
      <c r="DJ23" s="2">
        <v>40</v>
      </c>
      <c r="DK23" s="2">
        <v>50</v>
      </c>
      <c r="DL23" s="2">
        <v>20</v>
      </c>
      <c r="DM23" s="2">
        <v>30</v>
      </c>
      <c r="DN23" s="2">
        <v>40</v>
      </c>
      <c r="DO23" s="2">
        <v>50</v>
      </c>
      <c r="DP23" s="2">
        <v>90</v>
      </c>
      <c r="DQ23" s="2">
        <v>100</v>
      </c>
      <c r="DR23" s="2">
        <v>30</v>
      </c>
      <c r="DS23" s="2">
        <v>90</v>
      </c>
      <c r="DT23" s="2">
        <v>90</v>
      </c>
      <c r="DU23" s="2">
        <v>50</v>
      </c>
      <c r="DV23" s="2">
        <v>20</v>
      </c>
      <c r="DW23" s="2">
        <v>20</v>
      </c>
      <c r="DX23" s="2">
        <v>50</v>
      </c>
      <c r="DY23" s="2">
        <v>20</v>
      </c>
      <c r="DZ23" s="2">
        <v>100</v>
      </c>
      <c r="EA23" s="2">
        <v>40</v>
      </c>
      <c r="EB23" s="2">
        <v>100</v>
      </c>
      <c r="EC23" s="2">
        <v>10</v>
      </c>
      <c r="ED23" s="2">
        <v>20</v>
      </c>
      <c r="EE23" s="2">
        <v>10</v>
      </c>
      <c r="EF23" s="2">
        <v>30</v>
      </c>
      <c r="EG23" s="2">
        <v>70</v>
      </c>
      <c r="EH23" s="2">
        <v>40</v>
      </c>
      <c r="EI23" s="2">
        <v>20</v>
      </c>
      <c r="EJ23" s="2">
        <v>20</v>
      </c>
      <c r="EK23" s="2">
        <v>50</v>
      </c>
      <c r="EL23" s="2">
        <v>60</v>
      </c>
      <c r="EM23" s="2">
        <v>10</v>
      </c>
      <c r="EN23" s="2">
        <v>50</v>
      </c>
    </row>
    <row r="24" spans="2:145" x14ac:dyDescent="0.3">
      <c r="B24" s="9">
        <v>0.875</v>
      </c>
      <c r="C24" s="2">
        <v>50</v>
      </c>
      <c r="D24" s="2">
        <v>20</v>
      </c>
      <c r="E24" s="2">
        <v>10</v>
      </c>
      <c r="F24" s="2">
        <v>10</v>
      </c>
      <c r="G24" s="2">
        <v>90</v>
      </c>
      <c r="H24" s="2">
        <v>50</v>
      </c>
      <c r="I24" s="2">
        <v>60</v>
      </c>
      <c r="J24" s="2">
        <v>40</v>
      </c>
      <c r="K24" s="2">
        <v>50</v>
      </c>
      <c r="L24" s="2">
        <v>100</v>
      </c>
      <c r="M24" s="2">
        <v>40</v>
      </c>
      <c r="N24" s="2">
        <v>60</v>
      </c>
      <c r="O24" s="2">
        <v>70</v>
      </c>
      <c r="P24" s="2">
        <v>70</v>
      </c>
      <c r="Q24" s="2">
        <v>10</v>
      </c>
      <c r="R24" s="2">
        <v>60</v>
      </c>
      <c r="S24" s="2">
        <v>20</v>
      </c>
      <c r="T24" s="2">
        <v>30</v>
      </c>
      <c r="U24" s="2">
        <v>20</v>
      </c>
      <c r="V24" s="2">
        <v>100</v>
      </c>
      <c r="W24" s="2">
        <v>80</v>
      </c>
      <c r="X24" s="2">
        <v>70</v>
      </c>
      <c r="Y24" s="2">
        <v>60</v>
      </c>
      <c r="Z24" s="2">
        <v>60</v>
      </c>
      <c r="AA24" s="2">
        <v>50</v>
      </c>
      <c r="AB24" s="2">
        <v>30</v>
      </c>
      <c r="AC24" s="2">
        <v>50</v>
      </c>
      <c r="AD24" s="2">
        <v>60</v>
      </c>
      <c r="AE24" s="2">
        <v>90</v>
      </c>
      <c r="AF24" s="2">
        <v>30</v>
      </c>
      <c r="AG24" s="2">
        <v>80</v>
      </c>
      <c r="AH24" s="2">
        <v>40</v>
      </c>
      <c r="AI24" s="2">
        <v>80</v>
      </c>
      <c r="AJ24" s="2">
        <v>10</v>
      </c>
      <c r="AK24" s="2">
        <v>80</v>
      </c>
      <c r="AL24" s="2">
        <v>10</v>
      </c>
      <c r="AM24" s="2">
        <v>70</v>
      </c>
      <c r="AN24" s="2">
        <v>30</v>
      </c>
      <c r="AO24" s="2">
        <v>70</v>
      </c>
      <c r="AP24" s="2">
        <v>50</v>
      </c>
      <c r="AQ24" s="2">
        <v>40</v>
      </c>
      <c r="AR24" s="2">
        <v>100</v>
      </c>
      <c r="AS24" s="2">
        <v>20</v>
      </c>
      <c r="AT24" s="2">
        <v>40</v>
      </c>
      <c r="AU24" s="2">
        <v>30</v>
      </c>
      <c r="AV24" s="2">
        <v>20</v>
      </c>
      <c r="AW24" s="2">
        <v>50</v>
      </c>
      <c r="AX24" s="2">
        <v>70</v>
      </c>
      <c r="AY24" s="2">
        <v>70</v>
      </c>
      <c r="AZ24" s="2">
        <v>100</v>
      </c>
      <c r="BA24" s="2">
        <v>20</v>
      </c>
      <c r="BB24" s="2">
        <v>20</v>
      </c>
      <c r="BC24" s="2">
        <v>100</v>
      </c>
      <c r="BD24" s="2">
        <v>40</v>
      </c>
      <c r="BE24" s="2">
        <v>30</v>
      </c>
      <c r="BF24" s="2">
        <v>20</v>
      </c>
      <c r="BG24" s="2">
        <v>40</v>
      </c>
      <c r="BH24" s="2">
        <v>40</v>
      </c>
      <c r="BI24" s="2">
        <v>80</v>
      </c>
      <c r="BJ24" s="2">
        <v>20</v>
      </c>
      <c r="BK24" s="2">
        <v>90</v>
      </c>
      <c r="BL24" s="2">
        <v>60</v>
      </c>
      <c r="BM24" s="2">
        <v>60</v>
      </c>
      <c r="BN24" s="2">
        <v>30</v>
      </c>
      <c r="BO24" s="2">
        <v>70</v>
      </c>
      <c r="BP24" s="2">
        <v>20</v>
      </c>
      <c r="BQ24" s="2">
        <v>100</v>
      </c>
      <c r="BR24" s="2">
        <v>50</v>
      </c>
      <c r="BS24" s="2">
        <v>90</v>
      </c>
      <c r="BT24" s="2">
        <v>10</v>
      </c>
      <c r="BU24" s="2">
        <v>60</v>
      </c>
      <c r="BV24" s="2">
        <v>60</v>
      </c>
      <c r="BW24" s="2">
        <v>80</v>
      </c>
      <c r="BX24" s="2">
        <v>70</v>
      </c>
      <c r="BY24" s="2">
        <v>20</v>
      </c>
      <c r="BZ24" s="2">
        <v>20</v>
      </c>
      <c r="CA24" s="2">
        <v>40</v>
      </c>
      <c r="CB24" s="2">
        <v>20</v>
      </c>
      <c r="CC24" s="2">
        <v>20</v>
      </c>
      <c r="CD24" s="2">
        <v>10</v>
      </c>
      <c r="CE24" s="2">
        <v>20</v>
      </c>
      <c r="CF24" s="2">
        <v>10</v>
      </c>
      <c r="CG24" s="2">
        <v>50</v>
      </c>
      <c r="CH24" s="2">
        <v>70</v>
      </c>
      <c r="CI24" s="2">
        <v>40</v>
      </c>
      <c r="CJ24" s="2">
        <v>90</v>
      </c>
      <c r="CK24" s="2">
        <v>10</v>
      </c>
      <c r="CL24" s="2">
        <v>80</v>
      </c>
      <c r="CM24" s="2">
        <v>60</v>
      </c>
      <c r="CN24" s="2">
        <v>50</v>
      </c>
      <c r="CO24" s="2">
        <v>90</v>
      </c>
      <c r="CP24" s="2">
        <v>20</v>
      </c>
      <c r="CQ24" s="2">
        <v>90</v>
      </c>
      <c r="CR24" s="2">
        <v>20</v>
      </c>
      <c r="CS24" s="2">
        <v>80</v>
      </c>
      <c r="CT24" s="2">
        <v>70</v>
      </c>
      <c r="CU24" s="2">
        <v>100</v>
      </c>
      <c r="CV24" s="2">
        <v>20</v>
      </c>
      <c r="CW24" s="2">
        <v>100</v>
      </c>
      <c r="CX24" s="2">
        <v>70</v>
      </c>
      <c r="CY24" s="2">
        <v>80</v>
      </c>
      <c r="CZ24" s="2">
        <v>80</v>
      </c>
      <c r="DA24" s="2">
        <v>90</v>
      </c>
      <c r="DB24" s="2">
        <v>20</v>
      </c>
      <c r="DC24" s="2">
        <v>90</v>
      </c>
      <c r="DD24" s="2">
        <v>20</v>
      </c>
      <c r="DE24" s="2">
        <v>100</v>
      </c>
      <c r="DF24" s="2">
        <v>60</v>
      </c>
      <c r="DG24" s="2">
        <v>20</v>
      </c>
      <c r="DH24" s="2">
        <v>20</v>
      </c>
      <c r="DI24" s="2">
        <v>60</v>
      </c>
      <c r="DJ24" s="2">
        <v>100</v>
      </c>
      <c r="DK24" s="2">
        <v>80</v>
      </c>
      <c r="DL24" s="2">
        <v>30</v>
      </c>
      <c r="DM24" s="2">
        <v>20</v>
      </c>
      <c r="DN24" s="2">
        <v>80</v>
      </c>
      <c r="DO24" s="2">
        <v>40</v>
      </c>
      <c r="DP24" s="2">
        <v>10</v>
      </c>
      <c r="DQ24" s="2">
        <v>80</v>
      </c>
      <c r="DR24" s="2">
        <v>40</v>
      </c>
      <c r="DS24" s="2">
        <v>20</v>
      </c>
      <c r="DT24" s="2">
        <v>30</v>
      </c>
      <c r="DU24" s="2">
        <v>100</v>
      </c>
      <c r="DV24" s="2">
        <v>60</v>
      </c>
      <c r="DW24" s="2">
        <v>100</v>
      </c>
      <c r="DX24" s="2">
        <v>90</v>
      </c>
      <c r="DY24" s="2">
        <v>10</v>
      </c>
      <c r="DZ24" s="2">
        <v>50</v>
      </c>
      <c r="EA24" s="2">
        <v>60</v>
      </c>
      <c r="EB24" s="2">
        <v>50</v>
      </c>
      <c r="EC24" s="2">
        <v>10</v>
      </c>
      <c r="ED24" s="2">
        <v>90</v>
      </c>
      <c r="EE24" s="2">
        <v>50</v>
      </c>
      <c r="EF24" s="2">
        <v>60</v>
      </c>
      <c r="EG24" s="2">
        <v>30</v>
      </c>
      <c r="EH24" s="2">
        <v>50</v>
      </c>
      <c r="EI24" s="2">
        <v>10</v>
      </c>
      <c r="EJ24" s="2">
        <v>30</v>
      </c>
      <c r="EK24" s="2">
        <v>30</v>
      </c>
      <c r="EL24" s="2">
        <v>30</v>
      </c>
      <c r="EM24" s="2">
        <v>50</v>
      </c>
      <c r="EN24" s="2">
        <v>90</v>
      </c>
    </row>
    <row r="25" spans="2:145" x14ac:dyDescent="0.3">
      <c r="B25" s="9">
        <v>0.91666666666666596</v>
      </c>
      <c r="C25" s="2">
        <v>20</v>
      </c>
      <c r="D25" s="2">
        <v>70</v>
      </c>
      <c r="E25" s="2">
        <v>10</v>
      </c>
      <c r="F25" s="2">
        <v>40</v>
      </c>
      <c r="G25" s="2">
        <v>30</v>
      </c>
      <c r="H25" s="2">
        <v>10</v>
      </c>
      <c r="I25" s="2">
        <v>10</v>
      </c>
      <c r="J25" s="2">
        <v>70</v>
      </c>
      <c r="K25" s="2">
        <v>10</v>
      </c>
      <c r="L25" s="2">
        <v>80</v>
      </c>
      <c r="M25" s="2">
        <v>70</v>
      </c>
      <c r="N25" s="2">
        <v>40</v>
      </c>
      <c r="O25" s="2">
        <v>30</v>
      </c>
      <c r="P25" s="2">
        <v>10</v>
      </c>
      <c r="Q25" s="2">
        <v>90</v>
      </c>
      <c r="R25" s="2">
        <v>30</v>
      </c>
      <c r="S25" s="2">
        <v>100</v>
      </c>
      <c r="T25" s="2">
        <v>60</v>
      </c>
      <c r="U25" s="2">
        <v>40</v>
      </c>
      <c r="V25" s="2">
        <v>90</v>
      </c>
      <c r="W25" s="2">
        <v>50</v>
      </c>
      <c r="X25" s="2">
        <v>20</v>
      </c>
      <c r="Y25" s="2">
        <v>100</v>
      </c>
      <c r="Z25" s="2">
        <v>30</v>
      </c>
      <c r="AA25" s="2">
        <v>30</v>
      </c>
      <c r="AB25" s="2">
        <v>20</v>
      </c>
      <c r="AC25" s="2">
        <v>100</v>
      </c>
      <c r="AD25" s="2">
        <v>30</v>
      </c>
      <c r="AE25" s="2">
        <v>20</v>
      </c>
      <c r="AF25" s="2">
        <v>60</v>
      </c>
      <c r="AG25" s="2">
        <v>40</v>
      </c>
      <c r="AH25" s="2">
        <v>50</v>
      </c>
      <c r="AI25" s="2">
        <v>10</v>
      </c>
      <c r="AJ25" s="2">
        <v>50</v>
      </c>
      <c r="AK25" s="2">
        <v>100</v>
      </c>
      <c r="AL25" s="2">
        <v>20</v>
      </c>
      <c r="AM25" s="2">
        <v>20</v>
      </c>
      <c r="AN25" s="2">
        <v>80</v>
      </c>
      <c r="AO25" s="2">
        <v>20</v>
      </c>
      <c r="AP25" s="2">
        <v>70</v>
      </c>
      <c r="AQ25" s="2">
        <v>30</v>
      </c>
      <c r="AR25" s="2">
        <v>60</v>
      </c>
      <c r="AS25" s="2">
        <v>30</v>
      </c>
      <c r="AT25" s="2">
        <v>20</v>
      </c>
      <c r="AU25" s="2">
        <v>60</v>
      </c>
      <c r="AV25" s="2">
        <v>60</v>
      </c>
      <c r="AW25" s="2">
        <v>30</v>
      </c>
      <c r="AX25" s="2">
        <v>30</v>
      </c>
      <c r="AY25" s="2">
        <v>40</v>
      </c>
      <c r="AZ25" s="2">
        <v>50</v>
      </c>
      <c r="BA25" s="2">
        <v>30</v>
      </c>
      <c r="BB25" s="2">
        <v>100</v>
      </c>
      <c r="BC25" s="2">
        <v>20</v>
      </c>
      <c r="BD25" s="2">
        <v>10</v>
      </c>
      <c r="BE25" s="2">
        <v>10</v>
      </c>
      <c r="BF25" s="2">
        <v>80</v>
      </c>
      <c r="BG25" s="2">
        <v>20</v>
      </c>
      <c r="BH25" s="2">
        <v>50</v>
      </c>
      <c r="BI25" s="2">
        <v>90</v>
      </c>
      <c r="BJ25" s="2">
        <v>60</v>
      </c>
      <c r="BK25" s="2">
        <v>30</v>
      </c>
      <c r="BL25" s="2">
        <v>90</v>
      </c>
      <c r="BM25" s="2">
        <v>40</v>
      </c>
      <c r="BN25" s="2">
        <v>10</v>
      </c>
      <c r="BO25" s="2">
        <v>90</v>
      </c>
      <c r="BP25" s="2">
        <v>10</v>
      </c>
      <c r="BQ25" s="2">
        <v>70</v>
      </c>
      <c r="BR25" s="2">
        <v>20</v>
      </c>
      <c r="BS25" s="2">
        <v>80</v>
      </c>
      <c r="BT25" s="2">
        <v>80</v>
      </c>
      <c r="BU25" s="2">
        <v>80</v>
      </c>
      <c r="BV25" s="2">
        <v>10</v>
      </c>
      <c r="BW25" s="2">
        <v>50</v>
      </c>
      <c r="BX25" s="2">
        <v>50</v>
      </c>
      <c r="BY25" s="2">
        <v>50</v>
      </c>
      <c r="BZ25" s="2">
        <v>100</v>
      </c>
      <c r="CA25" s="2">
        <v>70</v>
      </c>
      <c r="CB25" s="2">
        <v>90</v>
      </c>
      <c r="CC25" s="2">
        <v>20</v>
      </c>
      <c r="CD25" s="2">
        <v>20</v>
      </c>
      <c r="CE25" s="2">
        <v>90</v>
      </c>
      <c r="CF25" s="2">
        <v>90</v>
      </c>
      <c r="CG25" s="2">
        <v>100</v>
      </c>
      <c r="CH25" s="2">
        <v>80</v>
      </c>
      <c r="CI25" s="2">
        <v>100</v>
      </c>
      <c r="CJ25" s="2">
        <v>70</v>
      </c>
      <c r="CK25" s="2">
        <v>70</v>
      </c>
      <c r="CL25" s="2">
        <v>70</v>
      </c>
      <c r="CM25" s="2">
        <v>90</v>
      </c>
      <c r="CN25" s="2">
        <v>60</v>
      </c>
      <c r="CO25" s="2">
        <v>10</v>
      </c>
      <c r="CP25" s="2">
        <v>70</v>
      </c>
      <c r="CQ25" s="2">
        <v>30</v>
      </c>
      <c r="CR25" s="2">
        <v>30</v>
      </c>
      <c r="CS25" s="2">
        <v>30</v>
      </c>
      <c r="CT25" s="2">
        <v>20</v>
      </c>
      <c r="CU25" s="2">
        <v>60</v>
      </c>
      <c r="CV25" s="2">
        <v>80</v>
      </c>
      <c r="CW25" s="2">
        <v>100</v>
      </c>
      <c r="CX25" s="2">
        <v>50</v>
      </c>
      <c r="CY25" s="2">
        <v>30</v>
      </c>
      <c r="CZ25" s="2">
        <v>70</v>
      </c>
      <c r="DA25" s="2">
        <v>70</v>
      </c>
      <c r="DB25" s="2">
        <v>80</v>
      </c>
      <c r="DC25" s="2">
        <v>50</v>
      </c>
      <c r="DD25" s="2">
        <v>40</v>
      </c>
      <c r="DE25" s="2">
        <v>90</v>
      </c>
      <c r="DF25" s="2">
        <v>10</v>
      </c>
      <c r="DG25" s="2">
        <v>40</v>
      </c>
      <c r="DH25" s="2">
        <v>60</v>
      </c>
      <c r="DI25" s="2">
        <v>30</v>
      </c>
      <c r="DJ25" s="2">
        <v>80</v>
      </c>
      <c r="DK25" s="2">
        <v>70</v>
      </c>
      <c r="DL25" s="2">
        <v>40</v>
      </c>
      <c r="DM25" s="2">
        <v>70</v>
      </c>
      <c r="DN25" s="2">
        <v>10</v>
      </c>
      <c r="DO25" s="2">
        <v>80</v>
      </c>
      <c r="DP25" s="2">
        <v>40</v>
      </c>
      <c r="DQ25" s="2">
        <v>60</v>
      </c>
      <c r="DR25" s="2">
        <v>20</v>
      </c>
      <c r="DS25" s="2">
        <v>30</v>
      </c>
      <c r="DT25" s="2">
        <v>20</v>
      </c>
      <c r="DU25" s="2">
        <v>20</v>
      </c>
      <c r="DV25" s="2">
        <v>60</v>
      </c>
      <c r="DW25" s="2">
        <v>20</v>
      </c>
      <c r="DX25" s="2">
        <v>20</v>
      </c>
      <c r="DY25" s="2">
        <v>100</v>
      </c>
      <c r="DZ25" s="2">
        <v>20</v>
      </c>
      <c r="EA25" s="2">
        <v>30</v>
      </c>
      <c r="EB25" s="2">
        <v>20</v>
      </c>
      <c r="EC25" s="2">
        <v>20</v>
      </c>
      <c r="ED25" s="2">
        <v>70</v>
      </c>
      <c r="EE25" s="2">
        <v>30</v>
      </c>
      <c r="EF25" s="2">
        <v>100</v>
      </c>
      <c r="EG25" s="2">
        <v>10</v>
      </c>
      <c r="EH25" s="2">
        <v>90</v>
      </c>
      <c r="EI25" s="2">
        <v>40</v>
      </c>
      <c r="EJ25" s="2">
        <v>30</v>
      </c>
      <c r="EK25" s="2">
        <v>40</v>
      </c>
      <c r="EL25" s="2">
        <v>80</v>
      </c>
      <c r="EM25" s="2">
        <v>50</v>
      </c>
      <c r="EN25" s="2">
        <v>90</v>
      </c>
    </row>
    <row r="26" spans="2:145" x14ac:dyDescent="0.3">
      <c r="B26" s="9">
        <v>0.95833333333333304</v>
      </c>
      <c r="C26" s="2">
        <v>80</v>
      </c>
      <c r="D26" s="2">
        <v>30</v>
      </c>
      <c r="E26" s="2">
        <v>20</v>
      </c>
      <c r="F26" s="2">
        <v>30</v>
      </c>
      <c r="G26" s="2">
        <v>10</v>
      </c>
      <c r="H26" s="2">
        <v>10</v>
      </c>
      <c r="I26" s="2">
        <v>10</v>
      </c>
      <c r="J26" s="2">
        <v>60</v>
      </c>
      <c r="K26" s="2">
        <v>70</v>
      </c>
      <c r="L26" s="2">
        <v>50</v>
      </c>
      <c r="M26" s="2">
        <v>50</v>
      </c>
      <c r="N26" s="2">
        <v>20</v>
      </c>
      <c r="O26" s="2">
        <v>70</v>
      </c>
      <c r="P26" s="2">
        <v>50</v>
      </c>
      <c r="Q26" s="2">
        <v>100</v>
      </c>
      <c r="R26" s="2">
        <v>20</v>
      </c>
      <c r="S26" s="2">
        <v>60</v>
      </c>
      <c r="T26" s="2">
        <v>100</v>
      </c>
      <c r="U26" s="2">
        <v>20</v>
      </c>
      <c r="V26" s="2">
        <v>60</v>
      </c>
      <c r="W26" s="2">
        <v>90</v>
      </c>
      <c r="X26" s="2">
        <v>60</v>
      </c>
      <c r="Y26" s="2">
        <v>10</v>
      </c>
      <c r="Z26" s="2">
        <v>40</v>
      </c>
      <c r="AA26" s="2">
        <v>50</v>
      </c>
      <c r="AB26" s="2">
        <v>70</v>
      </c>
      <c r="AC26" s="2">
        <v>30</v>
      </c>
      <c r="AD26" s="2">
        <v>20</v>
      </c>
      <c r="AE26" s="2">
        <v>80</v>
      </c>
      <c r="AF26" s="2">
        <v>50</v>
      </c>
      <c r="AG26" s="2">
        <v>50</v>
      </c>
      <c r="AH26" s="2">
        <v>100</v>
      </c>
      <c r="AI26" s="2">
        <v>20</v>
      </c>
      <c r="AJ26" s="2">
        <v>40</v>
      </c>
      <c r="AK26" s="2">
        <v>40</v>
      </c>
      <c r="AL26" s="2">
        <v>20</v>
      </c>
      <c r="AM26" s="2">
        <v>80</v>
      </c>
      <c r="AN26" s="2">
        <v>70</v>
      </c>
      <c r="AO26" s="2">
        <v>20</v>
      </c>
      <c r="AP26" s="2">
        <v>10</v>
      </c>
      <c r="AQ26" s="2">
        <v>100</v>
      </c>
      <c r="AR26" s="2">
        <v>60</v>
      </c>
      <c r="AS26" s="2">
        <v>80</v>
      </c>
      <c r="AT26" s="2">
        <v>40</v>
      </c>
      <c r="AU26" s="2">
        <v>20</v>
      </c>
      <c r="AV26" s="2">
        <v>90</v>
      </c>
      <c r="AW26" s="2">
        <v>80</v>
      </c>
      <c r="AX26" s="2">
        <v>60</v>
      </c>
      <c r="AY26" s="2">
        <v>30</v>
      </c>
      <c r="AZ26" s="2">
        <v>70</v>
      </c>
      <c r="BA26" s="2">
        <v>10</v>
      </c>
      <c r="BB26" s="2">
        <v>80</v>
      </c>
      <c r="BC26" s="2">
        <v>60</v>
      </c>
      <c r="BD26" s="2">
        <v>20</v>
      </c>
      <c r="BE26" s="2">
        <v>40</v>
      </c>
      <c r="BF26" s="2">
        <v>10</v>
      </c>
      <c r="BG26" s="2">
        <v>100</v>
      </c>
      <c r="BH26" s="2">
        <v>60</v>
      </c>
      <c r="BI26" s="2">
        <v>60</v>
      </c>
      <c r="BJ26" s="2">
        <v>20</v>
      </c>
      <c r="BK26" s="2">
        <v>70</v>
      </c>
      <c r="BL26" s="2">
        <v>80</v>
      </c>
      <c r="BM26" s="2">
        <v>60</v>
      </c>
      <c r="BN26" s="2">
        <v>70</v>
      </c>
      <c r="BO26" s="2">
        <v>60</v>
      </c>
      <c r="BP26" s="2">
        <v>20</v>
      </c>
      <c r="BQ26" s="2">
        <v>20</v>
      </c>
      <c r="BR26" s="2">
        <v>10</v>
      </c>
      <c r="BS26" s="2">
        <v>10</v>
      </c>
      <c r="BT26" s="2">
        <v>40</v>
      </c>
      <c r="BU26" s="2">
        <v>20</v>
      </c>
      <c r="BV26" s="2">
        <v>60</v>
      </c>
      <c r="BW26" s="2">
        <v>70</v>
      </c>
      <c r="BX26" s="2">
        <v>30</v>
      </c>
      <c r="BY26" s="2">
        <v>50</v>
      </c>
      <c r="BZ26" s="2">
        <v>30</v>
      </c>
      <c r="CA26" s="2">
        <v>50</v>
      </c>
      <c r="CB26" s="2">
        <v>100</v>
      </c>
      <c r="CC26" s="2">
        <v>50</v>
      </c>
      <c r="CD26" s="2">
        <v>90</v>
      </c>
      <c r="CE26" s="2">
        <v>20</v>
      </c>
      <c r="CF26" s="2">
        <v>90</v>
      </c>
      <c r="CG26" s="2">
        <v>60</v>
      </c>
      <c r="CH26" s="2">
        <v>100</v>
      </c>
      <c r="CI26" s="2">
        <v>30</v>
      </c>
      <c r="CJ26" s="2">
        <v>40</v>
      </c>
      <c r="CK26" s="2">
        <v>10</v>
      </c>
      <c r="CL26" s="2">
        <v>90</v>
      </c>
      <c r="CM26" s="2">
        <v>20</v>
      </c>
      <c r="CN26" s="2">
        <v>10</v>
      </c>
      <c r="CO26" s="2">
        <v>60</v>
      </c>
      <c r="CP26" s="2">
        <v>60</v>
      </c>
      <c r="CQ26" s="2">
        <v>40</v>
      </c>
      <c r="CR26" s="2">
        <v>10</v>
      </c>
      <c r="CS26" s="2">
        <v>30</v>
      </c>
      <c r="CT26" s="2">
        <v>20</v>
      </c>
      <c r="CU26" s="2">
        <v>90</v>
      </c>
      <c r="CV26" s="2">
        <v>40</v>
      </c>
      <c r="CW26" s="2">
        <v>10</v>
      </c>
      <c r="CX26" s="2">
        <v>50</v>
      </c>
      <c r="CY26" s="2">
        <v>80</v>
      </c>
      <c r="CZ26" s="2">
        <v>40</v>
      </c>
      <c r="DA26" s="2">
        <v>70</v>
      </c>
      <c r="DB26" s="2">
        <v>70</v>
      </c>
      <c r="DC26" s="2">
        <v>40</v>
      </c>
      <c r="DD26" s="2">
        <v>20</v>
      </c>
      <c r="DE26" s="2">
        <v>20</v>
      </c>
      <c r="DF26" s="2">
        <v>40</v>
      </c>
      <c r="DG26" s="2">
        <v>50</v>
      </c>
      <c r="DH26" s="2">
        <v>90</v>
      </c>
      <c r="DI26" s="2">
        <v>50</v>
      </c>
      <c r="DJ26" s="2">
        <v>80</v>
      </c>
      <c r="DK26" s="2">
        <v>50</v>
      </c>
      <c r="DL26" s="2">
        <v>40</v>
      </c>
      <c r="DM26" s="2">
        <v>70</v>
      </c>
      <c r="DN26" s="2">
        <v>80</v>
      </c>
      <c r="DO26" s="2">
        <v>60</v>
      </c>
      <c r="DP26" s="2">
        <v>40</v>
      </c>
      <c r="DQ26" s="2">
        <v>80</v>
      </c>
      <c r="DR26" s="2">
        <v>70</v>
      </c>
      <c r="DS26" s="2">
        <v>60</v>
      </c>
      <c r="DT26" s="2">
        <v>10</v>
      </c>
      <c r="DU26" s="2">
        <v>20</v>
      </c>
      <c r="DV26" s="2">
        <v>20</v>
      </c>
      <c r="DW26" s="2">
        <v>80</v>
      </c>
      <c r="DX26" s="2">
        <v>80</v>
      </c>
      <c r="DY26" s="2">
        <v>20</v>
      </c>
      <c r="DZ26" s="2">
        <v>50</v>
      </c>
      <c r="EA26" s="2">
        <v>70</v>
      </c>
      <c r="EB26" s="2">
        <v>70</v>
      </c>
      <c r="EC26" s="2">
        <v>50</v>
      </c>
      <c r="ED26" s="2">
        <v>40</v>
      </c>
      <c r="EE26" s="2">
        <v>90</v>
      </c>
      <c r="EF26" s="2">
        <v>80</v>
      </c>
      <c r="EG26" s="2">
        <v>20</v>
      </c>
      <c r="EH26" s="2">
        <v>80</v>
      </c>
      <c r="EI26" s="2">
        <v>60</v>
      </c>
      <c r="EJ26" s="2">
        <v>100</v>
      </c>
      <c r="EK26" s="2">
        <v>20</v>
      </c>
      <c r="EL26" s="2">
        <v>70</v>
      </c>
      <c r="EM26" s="2">
        <v>10</v>
      </c>
      <c r="EN26" s="2">
        <v>30</v>
      </c>
    </row>
    <row r="27" spans="2:145" x14ac:dyDescent="0.3">
      <c r="B27" s="21" t="s">
        <v>533</v>
      </c>
      <c r="C27" s="22">
        <f>AVERAGE(C3:C26)</f>
        <v>55.833333333333336</v>
      </c>
      <c r="D27" s="22">
        <f t="shared" ref="D27:BO27" si="0">AVERAGE(D3:D26)</f>
        <v>42.916666666666664</v>
      </c>
      <c r="E27" s="22">
        <f t="shared" si="0"/>
        <v>45.833333333333336</v>
      </c>
      <c r="F27" s="22">
        <f t="shared" si="0"/>
        <v>50.833333333333336</v>
      </c>
      <c r="G27" s="22">
        <f t="shared" si="0"/>
        <v>54.583333333333336</v>
      </c>
      <c r="H27" s="22">
        <f t="shared" si="0"/>
        <v>42.083333333333336</v>
      </c>
      <c r="I27" s="22">
        <f t="shared" si="0"/>
        <v>37.916666666666664</v>
      </c>
      <c r="J27" s="22">
        <f t="shared" si="0"/>
        <v>50.833333333333336</v>
      </c>
      <c r="K27" s="22">
        <f t="shared" si="0"/>
        <v>52.5</v>
      </c>
      <c r="L27" s="22">
        <f t="shared" si="0"/>
        <v>61.25</v>
      </c>
      <c r="M27" s="22">
        <f t="shared" si="0"/>
        <v>60.416666666666664</v>
      </c>
      <c r="N27" s="22">
        <f t="shared" si="0"/>
        <v>49.166666666666664</v>
      </c>
      <c r="O27" s="22">
        <f t="shared" si="0"/>
        <v>57.5</v>
      </c>
      <c r="P27" s="22">
        <f t="shared" si="0"/>
        <v>53.75</v>
      </c>
      <c r="Q27" s="22">
        <f t="shared" si="0"/>
        <v>57.916666666666664</v>
      </c>
      <c r="R27" s="22">
        <f t="shared" si="0"/>
        <v>46.25</v>
      </c>
      <c r="S27" s="22">
        <f t="shared" si="0"/>
        <v>52.5</v>
      </c>
      <c r="T27" s="22">
        <f t="shared" si="0"/>
        <v>52.083333333333336</v>
      </c>
      <c r="U27" s="22">
        <f t="shared" si="0"/>
        <v>54.583333333333336</v>
      </c>
      <c r="V27" s="22">
        <f t="shared" si="0"/>
        <v>42.916666666666664</v>
      </c>
      <c r="W27" s="22">
        <f t="shared" si="0"/>
        <v>45</v>
      </c>
      <c r="X27" s="22">
        <f t="shared" si="0"/>
        <v>54.583333333333336</v>
      </c>
      <c r="Y27" s="22">
        <f t="shared" si="0"/>
        <v>47.5</v>
      </c>
      <c r="Z27" s="22">
        <f t="shared" si="0"/>
        <v>50.416666666666664</v>
      </c>
      <c r="AA27" s="22">
        <f t="shared" si="0"/>
        <v>54.166666666666664</v>
      </c>
      <c r="AB27" s="22">
        <f t="shared" si="0"/>
        <v>52.916666666666664</v>
      </c>
      <c r="AC27" s="22">
        <f t="shared" si="0"/>
        <v>48.75</v>
      </c>
      <c r="AD27" s="22">
        <f t="shared" si="0"/>
        <v>41.666666666666664</v>
      </c>
      <c r="AE27" s="22">
        <f t="shared" si="0"/>
        <v>49.166666666666664</v>
      </c>
      <c r="AF27" s="22">
        <f t="shared" si="0"/>
        <v>48.333333333333336</v>
      </c>
      <c r="AG27" s="22">
        <f t="shared" si="0"/>
        <v>52.916666666666664</v>
      </c>
      <c r="AH27" s="22">
        <f t="shared" si="0"/>
        <v>54.583333333333336</v>
      </c>
      <c r="AI27" s="22">
        <f t="shared" si="0"/>
        <v>49.583333333333336</v>
      </c>
      <c r="AJ27" s="22">
        <f t="shared" si="0"/>
        <v>49.583333333333336</v>
      </c>
      <c r="AK27" s="22">
        <f t="shared" si="0"/>
        <v>53.333333333333336</v>
      </c>
      <c r="AL27" s="22">
        <f t="shared" si="0"/>
        <v>48.75</v>
      </c>
      <c r="AM27" s="22">
        <f t="shared" si="0"/>
        <v>58.75</v>
      </c>
      <c r="AN27" s="22">
        <f t="shared" si="0"/>
        <v>54.166666666666664</v>
      </c>
      <c r="AO27" s="22">
        <f t="shared" si="0"/>
        <v>45.416666666666664</v>
      </c>
      <c r="AP27" s="22">
        <f t="shared" si="0"/>
        <v>48.333333333333336</v>
      </c>
      <c r="AQ27" s="22">
        <f t="shared" si="0"/>
        <v>57.083333333333336</v>
      </c>
      <c r="AR27" s="22">
        <f t="shared" si="0"/>
        <v>54.166666666666664</v>
      </c>
      <c r="AS27" s="22">
        <f t="shared" si="0"/>
        <v>52.916666666666664</v>
      </c>
      <c r="AT27" s="22">
        <f t="shared" si="0"/>
        <v>52.083333333333336</v>
      </c>
      <c r="AU27" s="22">
        <f t="shared" si="0"/>
        <v>54.583333333333336</v>
      </c>
      <c r="AV27" s="22">
        <f t="shared" si="0"/>
        <v>61.25</v>
      </c>
      <c r="AW27" s="22">
        <f t="shared" si="0"/>
        <v>57.083333333333336</v>
      </c>
      <c r="AX27" s="22">
        <f t="shared" si="0"/>
        <v>56.25</v>
      </c>
      <c r="AY27" s="22">
        <f t="shared" si="0"/>
        <v>50.416666666666664</v>
      </c>
      <c r="AZ27" s="22">
        <f t="shared" si="0"/>
        <v>50</v>
      </c>
      <c r="BA27" s="22">
        <f t="shared" si="0"/>
        <v>50</v>
      </c>
      <c r="BB27" s="22">
        <f t="shared" si="0"/>
        <v>54.583333333333336</v>
      </c>
      <c r="BC27" s="22">
        <f t="shared" si="0"/>
        <v>55.833333333333336</v>
      </c>
      <c r="BD27" s="22">
        <f t="shared" si="0"/>
        <v>50.833333333333336</v>
      </c>
      <c r="BE27" s="22">
        <f t="shared" si="0"/>
        <v>63.333333333333336</v>
      </c>
      <c r="BF27" s="22">
        <f t="shared" si="0"/>
        <v>55.416666666666664</v>
      </c>
      <c r="BG27" s="22">
        <f t="shared" si="0"/>
        <v>50</v>
      </c>
      <c r="BH27" s="22">
        <f t="shared" si="0"/>
        <v>50.833333333333336</v>
      </c>
      <c r="BI27" s="22">
        <f t="shared" si="0"/>
        <v>55</v>
      </c>
      <c r="BJ27" s="22">
        <f t="shared" si="0"/>
        <v>54.583333333333336</v>
      </c>
      <c r="BK27" s="22">
        <f t="shared" si="0"/>
        <v>43.75</v>
      </c>
      <c r="BL27" s="22">
        <f t="shared" si="0"/>
        <v>54.583333333333336</v>
      </c>
      <c r="BM27" s="22">
        <f t="shared" si="0"/>
        <v>54.583333333333336</v>
      </c>
      <c r="BN27" s="22">
        <f t="shared" si="0"/>
        <v>52.916666666666664</v>
      </c>
      <c r="BO27" s="22">
        <f t="shared" si="0"/>
        <v>58.333333333333336</v>
      </c>
      <c r="BP27" s="22">
        <f t="shared" ref="BP27:EA27" si="1">AVERAGE(BP3:BP26)</f>
        <v>53.333333333333336</v>
      </c>
      <c r="BQ27" s="22">
        <f t="shared" si="1"/>
        <v>58.333333333333336</v>
      </c>
      <c r="BR27" s="22">
        <f t="shared" si="1"/>
        <v>54.166666666666664</v>
      </c>
      <c r="BS27" s="22">
        <f t="shared" si="1"/>
        <v>56.666666666666664</v>
      </c>
      <c r="BT27" s="22">
        <f t="shared" si="1"/>
        <v>56.666666666666664</v>
      </c>
      <c r="BU27" s="22">
        <f t="shared" si="1"/>
        <v>48.75</v>
      </c>
      <c r="BV27" s="22">
        <f t="shared" si="1"/>
        <v>52.916666666666664</v>
      </c>
      <c r="BW27" s="22">
        <f t="shared" si="1"/>
        <v>65.416666666666671</v>
      </c>
      <c r="BX27" s="22">
        <f t="shared" si="1"/>
        <v>55.833333333333336</v>
      </c>
      <c r="BY27" s="22">
        <f t="shared" si="1"/>
        <v>57.916666666666664</v>
      </c>
      <c r="BZ27" s="22">
        <f t="shared" si="1"/>
        <v>61.25</v>
      </c>
      <c r="CA27" s="22">
        <f t="shared" si="1"/>
        <v>45.416666666666664</v>
      </c>
      <c r="CB27" s="22">
        <f t="shared" si="1"/>
        <v>51.666666666666664</v>
      </c>
      <c r="CC27" s="22">
        <f t="shared" si="1"/>
        <v>46.666666666666664</v>
      </c>
      <c r="CD27" s="22">
        <f t="shared" si="1"/>
        <v>49.583333333333336</v>
      </c>
      <c r="CE27" s="22">
        <f t="shared" si="1"/>
        <v>45</v>
      </c>
      <c r="CF27" s="22">
        <f t="shared" si="1"/>
        <v>58.75</v>
      </c>
      <c r="CG27" s="22">
        <f t="shared" si="1"/>
        <v>66.666666666666671</v>
      </c>
      <c r="CH27" s="22">
        <f t="shared" si="1"/>
        <v>47.083333333333336</v>
      </c>
      <c r="CI27" s="22">
        <f t="shared" si="1"/>
        <v>62.916666666666664</v>
      </c>
      <c r="CJ27" s="22">
        <f t="shared" si="1"/>
        <v>51.25</v>
      </c>
      <c r="CK27" s="22">
        <f t="shared" si="1"/>
        <v>47.5</v>
      </c>
      <c r="CL27" s="22">
        <f t="shared" si="1"/>
        <v>60</v>
      </c>
      <c r="CM27" s="22">
        <f t="shared" si="1"/>
        <v>48.75</v>
      </c>
      <c r="CN27" s="22">
        <f t="shared" si="1"/>
        <v>45.416666666666664</v>
      </c>
      <c r="CO27" s="22">
        <f t="shared" si="1"/>
        <v>63.333333333333336</v>
      </c>
      <c r="CP27" s="22">
        <f t="shared" si="1"/>
        <v>54.583333333333336</v>
      </c>
      <c r="CQ27" s="22">
        <f t="shared" si="1"/>
        <v>55.416666666666664</v>
      </c>
      <c r="CR27" s="22">
        <f t="shared" si="1"/>
        <v>55.833333333333336</v>
      </c>
      <c r="CS27" s="22">
        <f t="shared" si="1"/>
        <v>52.916666666666664</v>
      </c>
      <c r="CT27" s="22">
        <f t="shared" si="1"/>
        <v>57.083333333333336</v>
      </c>
      <c r="CU27" s="22">
        <f t="shared" si="1"/>
        <v>50</v>
      </c>
      <c r="CV27" s="22">
        <f t="shared" si="1"/>
        <v>56.25</v>
      </c>
      <c r="CW27" s="23">
        <f t="shared" si="1"/>
        <v>55.416666666666664</v>
      </c>
      <c r="CX27" s="23">
        <f t="shared" si="1"/>
        <v>51.666666666666664</v>
      </c>
      <c r="CY27" s="23">
        <f t="shared" si="1"/>
        <v>56.25</v>
      </c>
      <c r="CZ27" s="23">
        <f t="shared" si="1"/>
        <v>54.166666666666664</v>
      </c>
      <c r="DA27" s="23">
        <f t="shared" si="1"/>
        <v>50</v>
      </c>
      <c r="DB27" s="23">
        <f t="shared" si="1"/>
        <v>39.583333333333336</v>
      </c>
      <c r="DC27" s="23">
        <f t="shared" si="1"/>
        <v>55.416666666666664</v>
      </c>
      <c r="DD27" s="23">
        <f t="shared" si="1"/>
        <v>43.333333333333336</v>
      </c>
      <c r="DE27" s="23">
        <f t="shared" si="1"/>
        <v>55.833333333333336</v>
      </c>
      <c r="DF27" s="23">
        <f t="shared" si="1"/>
        <v>46.666666666666664</v>
      </c>
      <c r="DG27" s="23">
        <f t="shared" si="1"/>
        <v>43.333333333333336</v>
      </c>
      <c r="DH27" s="23">
        <f t="shared" si="1"/>
        <v>46.666666666666664</v>
      </c>
      <c r="DI27" s="23">
        <f t="shared" si="1"/>
        <v>42.916666666666664</v>
      </c>
      <c r="DJ27" s="23">
        <f t="shared" si="1"/>
        <v>52.083333333333336</v>
      </c>
      <c r="DK27" s="23">
        <f t="shared" si="1"/>
        <v>51.25</v>
      </c>
      <c r="DL27" s="23">
        <f t="shared" si="1"/>
        <v>48.75</v>
      </c>
      <c r="DM27" s="23">
        <f t="shared" si="1"/>
        <v>46.25</v>
      </c>
      <c r="DN27" s="23">
        <f t="shared" si="1"/>
        <v>59.166666666666664</v>
      </c>
      <c r="DO27" s="23">
        <f t="shared" si="1"/>
        <v>45.416666666666664</v>
      </c>
      <c r="DP27" s="23">
        <f t="shared" si="1"/>
        <v>44.166666666666664</v>
      </c>
      <c r="DQ27" s="23">
        <f t="shared" si="1"/>
        <v>42.5</v>
      </c>
      <c r="DR27" s="23">
        <f t="shared" si="1"/>
        <v>57.083333333333336</v>
      </c>
      <c r="DS27" s="23">
        <f t="shared" si="1"/>
        <v>43.75</v>
      </c>
      <c r="DT27" s="23">
        <f t="shared" si="1"/>
        <v>56.666666666666664</v>
      </c>
      <c r="DU27" s="23">
        <f t="shared" si="1"/>
        <v>60.416666666666664</v>
      </c>
      <c r="DV27" s="23">
        <f t="shared" si="1"/>
        <v>57.916666666666664</v>
      </c>
      <c r="DW27" s="23">
        <f t="shared" si="1"/>
        <v>55</v>
      </c>
      <c r="DX27" s="23">
        <f t="shared" si="1"/>
        <v>50.416666666666664</v>
      </c>
      <c r="DY27" s="23">
        <f t="shared" si="1"/>
        <v>55.833333333333336</v>
      </c>
      <c r="DZ27" s="23">
        <f t="shared" si="1"/>
        <v>45.416666666666664</v>
      </c>
      <c r="EA27" s="23">
        <f t="shared" si="1"/>
        <v>44.583333333333336</v>
      </c>
      <c r="EB27" s="23">
        <f t="shared" ref="EB27:EN27" si="2">AVERAGE(EB3:EB26)</f>
        <v>59.166666666666664</v>
      </c>
      <c r="EC27" s="23">
        <f t="shared" si="2"/>
        <v>45.833333333333336</v>
      </c>
      <c r="ED27" s="23">
        <f t="shared" si="2"/>
        <v>58.75</v>
      </c>
      <c r="EE27" s="23">
        <f t="shared" si="2"/>
        <v>42.5</v>
      </c>
      <c r="EF27" s="23">
        <f t="shared" si="2"/>
        <v>60</v>
      </c>
      <c r="EG27" s="23">
        <f t="shared" si="2"/>
        <v>35</v>
      </c>
      <c r="EH27" s="23">
        <f t="shared" si="2"/>
        <v>57.916666666666664</v>
      </c>
      <c r="EI27" s="23">
        <f t="shared" si="2"/>
        <v>52.083333333333336</v>
      </c>
      <c r="EJ27" s="23">
        <f t="shared" si="2"/>
        <v>46.666666666666664</v>
      </c>
      <c r="EK27" s="23">
        <f t="shared" si="2"/>
        <v>43.75</v>
      </c>
      <c r="EL27" s="23">
        <f t="shared" si="2"/>
        <v>50</v>
      </c>
      <c r="EM27" s="23">
        <f t="shared" si="2"/>
        <v>55</v>
      </c>
      <c r="EN27" s="23">
        <f t="shared" si="2"/>
        <v>45.833333333333336</v>
      </c>
      <c r="EO27" s="20"/>
    </row>
    <row r="28" spans="2:145" ht="31.2" x14ac:dyDescent="0.3">
      <c r="B28" s="25" t="s">
        <v>534</v>
      </c>
      <c r="C28" s="26">
        <f>MAX(C27:CL27)</f>
        <v>66.666666666666671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</row>
    <row r="29" spans="2:145" x14ac:dyDescent="0.3">
      <c r="B29" s="2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</row>
    <row r="30" spans="2:145" x14ac:dyDescent="0.3">
      <c r="B30" s="1"/>
    </row>
    <row r="31" spans="2:145" x14ac:dyDescent="0.3">
      <c r="B31" s="1"/>
    </row>
    <row r="32" spans="2:145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B863-F6F7-4B4C-819A-BDAC5EDC8E19}">
  <dimension ref="A1:EQ25"/>
  <sheetViews>
    <sheetView tabSelected="1" topLeftCell="C1" zoomScaleNormal="100" workbookViewId="0">
      <selection activeCell="C17" sqref="C17:EP17"/>
    </sheetView>
  </sheetViews>
  <sheetFormatPr defaultRowHeight="15.6" outlineLevelRow="1" outlineLevelCol="2" x14ac:dyDescent="0.3"/>
  <cols>
    <col min="2" max="2" width="16.09765625" customWidth="1"/>
    <col min="3" max="3" width="24.296875" customWidth="1"/>
    <col min="4" max="4" width="25.5" hidden="1" customWidth="1" outlineLevel="1"/>
    <col min="5" max="5" width="31" hidden="1" customWidth="1" outlineLevel="1"/>
    <col min="6" max="6" width="28.8984375" hidden="1" customWidth="1" outlineLevel="1"/>
    <col min="7" max="7" width="26.59765625" hidden="1" customWidth="1" outlineLevel="1"/>
    <col min="8" max="8" width="26.69921875" hidden="1" customWidth="1" outlineLevel="1"/>
    <col min="9" max="9" width="20.296875" hidden="1" customWidth="1" outlineLevel="1"/>
    <col min="10" max="10" width="21.59765625" hidden="1" customWidth="1" outlineLevel="1"/>
    <col min="11" max="11" width="15.5" hidden="1" customWidth="1" outlineLevel="1"/>
    <col min="12" max="12" width="18.69921875" hidden="1" customWidth="1" outlineLevel="1"/>
    <col min="13" max="13" width="15.8984375" hidden="1" customWidth="1" outlineLevel="1"/>
    <col min="14" max="14" width="16.3984375" hidden="1" customWidth="1" outlineLevel="1"/>
    <col min="15" max="15" width="17.19921875" customWidth="1" collapsed="1"/>
    <col min="16" max="16" width="12.59765625" bestFit="1" customWidth="1"/>
    <col min="17" max="17" width="17.19921875" hidden="1" customWidth="1" outlineLevel="1"/>
    <col min="18" max="18" width="17.5" hidden="1" customWidth="1" outlineLevel="1"/>
    <col min="19" max="27" width="10.09765625" hidden="1" customWidth="1" outlineLevel="1"/>
    <col min="28" max="28" width="20.5" customWidth="1" collapsed="1"/>
    <col min="29" max="29" width="22.296875" customWidth="1"/>
    <col min="30" max="35" width="10.09765625" hidden="1" customWidth="1" outlineLevel="1"/>
    <col min="36" max="40" width="20.69921875" style="28" hidden="1" customWidth="1" outlineLevel="1"/>
    <col min="41" max="41" width="20.69921875" style="28" customWidth="1" collapsed="1"/>
    <col min="42" max="42" width="20.69921875" style="28" customWidth="1"/>
    <col min="43" max="53" width="20.69921875" style="28" hidden="1" customWidth="1" outlineLevel="1"/>
    <col min="54" max="54" width="20.69921875" style="28" customWidth="1" collapsed="1"/>
    <col min="55" max="55" width="20.69921875" style="28" customWidth="1"/>
    <col min="56" max="66" width="20.69921875" style="28" hidden="1" customWidth="1" outlineLevel="1"/>
    <col min="67" max="67" width="20.69921875" style="28" customWidth="1" collapsed="1"/>
    <col min="68" max="68" width="20.69921875" style="28" customWidth="1"/>
    <col min="69" max="79" width="20.69921875" style="28" hidden="1" customWidth="1" outlineLevel="1"/>
    <col min="80" max="80" width="20.69921875" style="28" customWidth="1" collapsed="1"/>
    <col min="81" max="81" width="20.69921875" style="28" customWidth="1"/>
    <col min="82" max="92" width="20.69921875" style="28" hidden="1" customWidth="1" outlineLevel="1"/>
    <col min="93" max="93" width="20.69921875" style="28" customWidth="1" collapsed="1"/>
    <col min="94" max="94" width="20.69921875" style="28" customWidth="1"/>
    <col min="95" max="105" width="20.69921875" style="28" hidden="1" customWidth="1" outlineLevel="1"/>
    <col min="106" max="106" width="20.69921875" style="28" customWidth="1" collapsed="1"/>
    <col min="107" max="107" width="20.69921875" style="28" customWidth="1"/>
    <col min="108" max="118" width="20.69921875" style="28" hidden="1" customWidth="1" outlineLevel="2"/>
    <col min="119" max="119" width="20.69921875" style="28" hidden="1" customWidth="1" outlineLevel="1" collapsed="1"/>
    <col min="120" max="131" width="20.69921875" style="28" hidden="1" customWidth="1" outlineLevel="1"/>
    <col min="132" max="132" width="20.69921875" style="28" customWidth="1" collapsed="1"/>
    <col min="133" max="133" width="20.69921875" style="28" customWidth="1"/>
    <col min="134" max="144" width="20.69921875" style="28" customWidth="1" outlineLevel="1"/>
    <col min="145" max="147" width="20.69921875" style="28" customWidth="1"/>
  </cols>
  <sheetData>
    <row r="1" spans="1:147" x14ac:dyDescent="0.3">
      <c r="A1" t="s">
        <v>521</v>
      </c>
    </row>
    <row r="3" spans="1:147" ht="31.2" x14ac:dyDescent="0.3">
      <c r="C3" s="2" t="s">
        <v>494</v>
      </c>
      <c r="D3" s="12">
        <v>36526</v>
      </c>
      <c r="E3" s="12">
        <v>36557</v>
      </c>
      <c r="F3" s="12">
        <v>36586</v>
      </c>
      <c r="G3" s="12">
        <v>36617</v>
      </c>
      <c r="H3" s="12">
        <v>36647</v>
      </c>
      <c r="I3" s="12">
        <v>36678</v>
      </c>
      <c r="J3" s="12">
        <v>36708</v>
      </c>
      <c r="K3" s="12">
        <v>36739</v>
      </c>
      <c r="L3" s="12">
        <v>36770</v>
      </c>
      <c r="M3" s="12">
        <v>36800</v>
      </c>
      <c r="N3" s="12">
        <v>36831</v>
      </c>
      <c r="O3" s="12">
        <v>36861</v>
      </c>
      <c r="P3" s="13" t="s">
        <v>522</v>
      </c>
      <c r="Q3" s="12">
        <v>36922</v>
      </c>
      <c r="R3" s="12">
        <v>36950</v>
      </c>
      <c r="S3" s="12">
        <v>36981</v>
      </c>
      <c r="T3" s="12">
        <v>37011</v>
      </c>
      <c r="U3" s="12">
        <v>37042</v>
      </c>
      <c r="V3" s="12">
        <v>37072</v>
      </c>
      <c r="W3" s="12">
        <v>37103</v>
      </c>
      <c r="X3" s="12">
        <v>37134</v>
      </c>
      <c r="Y3" s="12">
        <v>37164</v>
      </c>
      <c r="Z3" s="12">
        <v>37195</v>
      </c>
      <c r="AA3" s="12">
        <v>37225</v>
      </c>
      <c r="AB3" s="12">
        <v>37256</v>
      </c>
      <c r="AC3" s="13" t="s">
        <v>523</v>
      </c>
      <c r="AD3" s="12">
        <v>37287</v>
      </c>
      <c r="AE3" s="12">
        <v>37315</v>
      </c>
      <c r="AF3" s="12">
        <v>37346</v>
      </c>
      <c r="AG3" s="12">
        <v>37376</v>
      </c>
      <c r="AH3" s="12">
        <v>37407</v>
      </c>
      <c r="AI3" s="12">
        <v>37437</v>
      </c>
      <c r="AJ3" s="29">
        <v>37468</v>
      </c>
      <c r="AK3" s="29">
        <v>37499</v>
      </c>
      <c r="AL3" s="29">
        <v>37529</v>
      </c>
      <c r="AM3" s="29">
        <v>37560</v>
      </c>
      <c r="AN3" s="29">
        <v>37590</v>
      </c>
      <c r="AO3" s="29">
        <v>37621</v>
      </c>
      <c r="AP3" s="30" t="s">
        <v>524</v>
      </c>
      <c r="AQ3" s="29">
        <v>37652</v>
      </c>
      <c r="AR3" s="29">
        <v>37680</v>
      </c>
      <c r="AS3" s="29">
        <v>37711</v>
      </c>
      <c r="AT3" s="29">
        <v>37741</v>
      </c>
      <c r="AU3" s="29">
        <v>37772</v>
      </c>
      <c r="AV3" s="29">
        <v>37802</v>
      </c>
      <c r="AW3" s="29">
        <v>37833</v>
      </c>
      <c r="AX3" s="29">
        <v>37864</v>
      </c>
      <c r="AY3" s="29">
        <v>37894</v>
      </c>
      <c r="AZ3" s="29">
        <v>37925</v>
      </c>
      <c r="BA3" s="29">
        <v>37955</v>
      </c>
      <c r="BB3" s="29">
        <v>37986</v>
      </c>
      <c r="BC3" s="30" t="s">
        <v>525</v>
      </c>
      <c r="BD3" s="29">
        <v>38017</v>
      </c>
      <c r="BE3" s="29">
        <v>38046</v>
      </c>
      <c r="BF3" s="29">
        <v>38077</v>
      </c>
      <c r="BG3" s="29">
        <v>38107</v>
      </c>
      <c r="BH3" s="29">
        <v>38138</v>
      </c>
      <c r="BI3" s="29">
        <v>38168</v>
      </c>
      <c r="BJ3" s="29">
        <v>38199</v>
      </c>
      <c r="BK3" s="29">
        <v>38230</v>
      </c>
      <c r="BL3" s="29">
        <v>38260</v>
      </c>
      <c r="BM3" s="29">
        <v>38291</v>
      </c>
      <c r="BN3" s="29">
        <v>38321</v>
      </c>
      <c r="BO3" s="29">
        <v>38352</v>
      </c>
      <c r="BP3" s="30" t="s">
        <v>526</v>
      </c>
      <c r="BQ3" s="29">
        <v>38383</v>
      </c>
      <c r="BR3" s="29">
        <v>38411</v>
      </c>
      <c r="BS3" s="29">
        <v>38442</v>
      </c>
      <c r="BT3" s="29">
        <v>38472</v>
      </c>
      <c r="BU3" s="29">
        <v>38503</v>
      </c>
      <c r="BV3" s="29">
        <v>38533</v>
      </c>
      <c r="BW3" s="29">
        <v>38564</v>
      </c>
      <c r="BX3" s="29">
        <v>38595</v>
      </c>
      <c r="BY3" s="29">
        <v>38625</v>
      </c>
      <c r="BZ3" s="29">
        <v>38656</v>
      </c>
      <c r="CA3" s="29">
        <v>38686</v>
      </c>
      <c r="CB3" s="29">
        <v>38717</v>
      </c>
      <c r="CC3" s="30" t="s">
        <v>527</v>
      </c>
      <c r="CD3" s="29">
        <v>38748</v>
      </c>
      <c r="CE3" s="29">
        <v>38776</v>
      </c>
      <c r="CF3" s="29">
        <v>38807</v>
      </c>
      <c r="CG3" s="29">
        <v>38837</v>
      </c>
      <c r="CH3" s="29">
        <v>38868</v>
      </c>
      <c r="CI3" s="29">
        <v>38898</v>
      </c>
      <c r="CJ3" s="29">
        <v>38929</v>
      </c>
      <c r="CK3" s="29">
        <v>38960</v>
      </c>
      <c r="CL3" s="29">
        <v>38990</v>
      </c>
      <c r="CM3" s="29">
        <v>39021</v>
      </c>
      <c r="CN3" s="29">
        <v>39051</v>
      </c>
      <c r="CO3" s="29">
        <v>39082</v>
      </c>
      <c r="CP3" s="30" t="s">
        <v>528</v>
      </c>
      <c r="CQ3" s="29">
        <v>39113</v>
      </c>
      <c r="CR3" s="29">
        <v>39141</v>
      </c>
      <c r="CS3" s="29">
        <v>39172</v>
      </c>
      <c r="CT3" s="29">
        <v>39202</v>
      </c>
      <c r="CU3" s="29">
        <v>39233</v>
      </c>
      <c r="CV3" s="29">
        <v>39263</v>
      </c>
      <c r="CW3" s="29">
        <v>39294</v>
      </c>
      <c r="CX3" s="29">
        <v>39325</v>
      </c>
      <c r="CY3" s="29">
        <v>39355</v>
      </c>
      <c r="CZ3" s="29">
        <v>39386</v>
      </c>
      <c r="DA3" s="29">
        <v>39416</v>
      </c>
      <c r="DB3" s="29">
        <v>39447</v>
      </c>
      <c r="DC3" s="30" t="s">
        <v>529</v>
      </c>
      <c r="DD3" s="29">
        <v>39478</v>
      </c>
      <c r="DE3" s="29">
        <v>39507</v>
      </c>
      <c r="DF3" s="29">
        <v>39538</v>
      </c>
      <c r="DG3" s="29">
        <v>39568</v>
      </c>
      <c r="DH3" s="29">
        <v>39599</v>
      </c>
      <c r="DI3" s="29">
        <v>39629</v>
      </c>
      <c r="DJ3" s="29">
        <v>39660</v>
      </c>
      <c r="DK3" s="29">
        <v>39691</v>
      </c>
      <c r="DL3" s="29">
        <v>39721</v>
      </c>
      <c r="DM3" s="29">
        <v>39752</v>
      </c>
      <c r="DN3" s="29">
        <v>39782</v>
      </c>
      <c r="DO3" s="29">
        <v>39813</v>
      </c>
      <c r="DP3" s="30" t="s">
        <v>530</v>
      </c>
      <c r="DQ3" s="29">
        <v>39844</v>
      </c>
      <c r="DR3" s="29">
        <v>39872</v>
      </c>
      <c r="DS3" s="29">
        <v>39903</v>
      </c>
      <c r="DT3" s="29">
        <v>39933</v>
      </c>
      <c r="DU3" s="29">
        <v>39964</v>
      </c>
      <c r="DV3" s="29">
        <v>39994</v>
      </c>
      <c r="DW3" s="29">
        <v>40025</v>
      </c>
      <c r="DX3" s="29">
        <v>40056</v>
      </c>
      <c r="DY3" s="29">
        <v>40086</v>
      </c>
      <c r="DZ3" s="29">
        <v>40117</v>
      </c>
      <c r="EA3" s="29">
        <v>40147</v>
      </c>
      <c r="EB3" s="29">
        <v>40178</v>
      </c>
      <c r="EC3" s="30" t="s">
        <v>531</v>
      </c>
      <c r="ED3" s="29">
        <v>40209</v>
      </c>
      <c r="EE3" s="29">
        <v>40237</v>
      </c>
      <c r="EF3" s="29">
        <v>40268</v>
      </c>
      <c r="EG3" s="29">
        <v>40298</v>
      </c>
      <c r="EH3" s="29">
        <v>40329</v>
      </c>
      <c r="EI3" s="29">
        <v>40359</v>
      </c>
      <c r="EJ3" s="29">
        <v>40390</v>
      </c>
      <c r="EK3" s="29">
        <v>40421</v>
      </c>
      <c r="EL3" s="29">
        <v>40451</v>
      </c>
      <c r="EM3" s="29">
        <v>40482</v>
      </c>
      <c r="EN3" s="29">
        <v>40512</v>
      </c>
      <c r="EO3" s="29">
        <v>40543</v>
      </c>
      <c r="EP3" s="30" t="s">
        <v>532</v>
      </c>
    </row>
    <row r="4" spans="1:147" x14ac:dyDescent="0.3">
      <c r="B4" t="s">
        <v>501</v>
      </c>
      <c r="C4" s="2" t="s">
        <v>499</v>
      </c>
      <c r="D4" s="2">
        <v>34555465</v>
      </c>
      <c r="E4" s="2">
        <v>39141276</v>
      </c>
      <c r="F4" s="2">
        <v>14834474</v>
      </c>
      <c r="G4" s="2">
        <v>35208439</v>
      </c>
      <c r="H4" s="2">
        <v>31014838</v>
      </c>
      <c r="I4" s="2">
        <v>17001022</v>
      </c>
      <c r="J4" s="2">
        <v>24455961</v>
      </c>
      <c r="K4" s="2">
        <v>13950193</v>
      </c>
      <c r="L4" s="2">
        <v>18407212</v>
      </c>
      <c r="M4" s="2">
        <v>32162702</v>
      </c>
      <c r="N4" s="2">
        <v>14900694</v>
      </c>
      <c r="O4" s="2">
        <v>33968953</v>
      </c>
      <c r="P4" s="8">
        <v>309601229</v>
      </c>
      <c r="Q4" s="2">
        <v>18569386</v>
      </c>
      <c r="R4" s="2">
        <v>22377125</v>
      </c>
      <c r="S4" s="2">
        <v>10003986</v>
      </c>
      <c r="T4" s="2">
        <v>14455989</v>
      </c>
      <c r="U4" s="2">
        <v>14891178</v>
      </c>
      <c r="V4" s="2">
        <v>28862787</v>
      </c>
      <c r="W4" s="2">
        <v>12927569</v>
      </c>
      <c r="X4" s="2">
        <v>10880135</v>
      </c>
      <c r="Y4" s="2">
        <v>38042265</v>
      </c>
      <c r="Z4" s="2">
        <v>37844049</v>
      </c>
      <c r="AA4" s="2">
        <v>23984906</v>
      </c>
      <c r="AB4" s="2">
        <v>15853373</v>
      </c>
      <c r="AC4" s="8">
        <v>248692748</v>
      </c>
      <c r="AD4" s="2">
        <v>39645655</v>
      </c>
      <c r="AE4" s="2">
        <v>20070748</v>
      </c>
      <c r="AF4" s="2">
        <v>35328709</v>
      </c>
      <c r="AG4" s="2">
        <v>32861250</v>
      </c>
      <c r="AH4" s="2">
        <v>11212918</v>
      </c>
      <c r="AI4" s="2">
        <v>35805476</v>
      </c>
      <c r="AJ4" s="31">
        <v>18293184</v>
      </c>
      <c r="AK4" s="31">
        <v>28962855</v>
      </c>
      <c r="AL4" s="31">
        <v>14130687</v>
      </c>
      <c r="AM4" s="31">
        <v>12767306</v>
      </c>
      <c r="AN4" s="31">
        <v>13814567</v>
      </c>
      <c r="AO4" s="31">
        <v>16294461</v>
      </c>
      <c r="AP4" s="32">
        <v>279187816</v>
      </c>
      <c r="AQ4" s="31">
        <v>26473449</v>
      </c>
      <c r="AR4" s="31">
        <v>27676361</v>
      </c>
      <c r="AS4" s="31">
        <v>25916336</v>
      </c>
      <c r="AT4" s="31">
        <v>15472351</v>
      </c>
      <c r="AU4" s="31">
        <v>16604956</v>
      </c>
      <c r="AV4" s="31">
        <v>22796787</v>
      </c>
      <c r="AW4" s="31">
        <v>36786490</v>
      </c>
      <c r="AX4" s="31">
        <v>35797618</v>
      </c>
      <c r="AY4" s="31">
        <v>13381013</v>
      </c>
      <c r="AZ4" s="31">
        <v>18844891</v>
      </c>
      <c r="BA4" s="31">
        <v>26606935</v>
      </c>
      <c r="BB4" s="31">
        <v>39159146</v>
      </c>
      <c r="BC4" s="32">
        <v>305516333</v>
      </c>
      <c r="BD4" s="31">
        <v>25030970</v>
      </c>
      <c r="BE4" s="31">
        <v>25864033</v>
      </c>
      <c r="BF4" s="31">
        <v>28286210</v>
      </c>
      <c r="BG4" s="31">
        <v>21266528</v>
      </c>
      <c r="BH4" s="31">
        <v>29885423</v>
      </c>
      <c r="BI4" s="31">
        <v>24087303</v>
      </c>
      <c r="BJ4" s="31">
        <v>27335728</v>
      </c>
      <c r="BK4" s="31">
        <v>15309689</v>
      </c>
      <c r="BL4" s="31">
        <v>32999324</v>
      </c>
      <c r="BM4" s="31">
        <v>34351068</v>
      </c>
      <c r="BN4" s="31">
        <v>16931781</v>
      </c>
      <c r="BO4" s="31">
        <v>39184839</v>
      </c>
      <c r="BP4" s="32">
        <v>320532896</v>
      </c>
      <c r="BQ4" s="31">
        <v>10136099</v>
      </c>
      <c r="BR4" s="31">
        <v>33816810</v>
      </c>
      <c r="BS4" s="31">
        <v>26176918</v>
      </c>
      <c r="BT4" s="31">
        <v>24540604</v>
      </c>
      <c r="BU4" s="31">
        <v>33898225</v>
      </c>
      <c r="BV4" s="31">
        <v>25522977</v>
      </c>
      <c r="BW4" s="31">
        <v>19451580</v>
      </c>
      <c r="BX4" s="31">
        <v>27033272</v>
      </c>
      <c r="BY4" s="31">
        <v>30384486</v>
      </c>
      <c r="BZ4" s="31">
        <v>37555039</v>
      </c>
      <c r="CA4" s="31">
        <v>17448749</v>
      </c>
      <c r="CB4" s="31">
        <v>31328886</v>
      </c>
      <c r="CC4" s="32">
        <v>317293645</v>
      </c>
      <c r="CD4" s="31">
        <v>15450530</v>
      </c>
      <c r="CE4" s="31">
        <v>17358168</v>
      </c>
      <c r="CF4" s="31">
        <v>19916997</v>
      </c>
      <c r="CG4" s="31">
        <v>11539392</v>
      </c>
      <c r="CH4" s="31">
        <v>22042919</v>
      </c>
      <c r="CI4" s="31">
        <v>37465235</v>
      </c>
      <c r="CJ4" s="31">
        <v>22581007</v>
      </c>
      <c r="CK4" s="31">
        <v>30565428</v>
      </c>
      <c r="CL4" s="31">
        <v>10339739</v>
      </c>
      <c r="CM4" s="31">
        <v>29324899</v>
      </c>
      <c r="CN4" s="31">
        <v>32640080</v>
      </c>
      <c r="CO4" s="31">
        <v>37752183</v>
      </c>
      <c r="CP4" s="32">
        <v>286976577</v>
      </c>
      <c r="CQ4" s="31">
        <v>20709387</v>
      </c>
      <c r="CR4" s="31">
        <v>29980302</v>
      </c>
      <c r="CS4" s="31">
        <v>29171167</v>
      </c>
      <c r="CT4" s="31">
        <v>36217419</v>
      </c>
      <c r="CU4" s="31">
        <v>19210128</v>
      </c>
      <c r="CV4" s="31">
        <v>15607839</v>
      </c>
      <c r="CW4" s="31">
        <v>12298568</v>
      </c>
      <c r="CX4" s="31">
        <v>15271782</v>
      </c>
      <c r="CY4" s="31">
        <v>22454058</v>
      </c>
      <c r="CZ4" s="31">
        <v>31811025</v>
      </c>
      <c r="DA4" s="31">
        <v>11571405</v>
      </c>
      <c r="DB4" s="31">
        <v>12278817</v>
      </c>
      <c r="DC4" s="32">
        <v>256581897</v>
      </c>
      <c r="DD4" s="31">
        <v>23126356</v>
      </c>
      <c r="DE4" s="31">
        <v>18904909</v>
      </c>
      <c r="DF4" s="31">
        <v>30742094</v>
      </c>
      <c r="DG4" s="31">
        <v>19596135</v>
      </c>
      <c r="DH4" s="31">
        <v>29430084</v>
      </c>
      <c r="DI4" s="31">
        <v>39577114</v>
      </c>
      <c r="DJ4" s="31">
        <v>32252907</v>
      </c>
      <c r="DK4" s="31">
        <v>31312474</v>
      </c>
      <c r="DL4" s="31">
        <v>14830742</v>
      </c>
      <c r="DM4" s="31">
        <v>17374312</v>
      </c>
      <c r="DN4" s="31">
        <v>18962792</v>
      </c>
      <c r="DO4" s="31">
        <v>35619444</v>
      </c>
      <c r="DP4" s="32">
        <v>311729363</v>
      </c>
      <c r="DQ4" s="31">
        <v>12527489</v>
      </c>
      <c r="DR4" s="31">
        <v>17980729</v>
      </c>
      <c r="DS4" s="31">
        <v>17464052</v>
      </c>
      <c r="DT4" s="31">
        <v>30994216</v>
      </c>
      <c r="DU4" s="31">
        <v>21720296</v>
      </c>
      <c r="DV4" s="31">
        <v>10662400</v>
      </c>
      <c r="DW4" s="31">
        <v>25786173</v>
      </c>
      <c r="DX4" s="31">
        <v>28081407</v>
      </c>
      <c r="DY4" s="31">
        <v>36589877</v>
      </c>
      <c r="DZ4" s="31">
        <v>15712894</v>
      </c>
      <c r="EA4" s="31">
        <v>23149290</v>
      </c>
      <c r="EB4" s="31">
        <v>31078900</v>
      </c>
      <c r="EC4" s="32">
        <v>271747723</v>
      </c>
      <c r="ED4" s="31">
        <v>21097473</v>
      </c>
      <c r="EE4" s="31">
        <v>14981464</v>
      </c>
      <c r="EF4" s="31">
        <v>34142809</v>
      </c>
      <c r="EG4" s="31">
        <v>25121301</v>
      </c>
      <c r="EH4" s="31">
        <v>20264338</v>
      </c>
      <c r="EI4" s="31">
        <v>39052559</v>
      </c>
      <c r="EJ4" s="31">
        <v>39698265</v>
      </c>
      <c r="EK4" s="31">
        <v>13422435</v>
      </c>
      <c r="EL4" s="31">
        <v>17961998</v>
      </c>
      <c r="EM4" s="31">
        <v>33362939</v>
      </c>
      <c r="EN4" s="31">
        <v>29436552</v>
      </c>
      <c r="EO4" s="31">
        <v>21371806</v>
      </c>
      <c r="EP4" s="32">
        <v>309913939</v>
      </c>
    </row>
    <row r="5" spans="1:147" x14ac:dyDescent="0.3">
      <c r="B5" t="s">
        <v>502</v>
      </c>
      <c r="C5" s="2" t="s">
        <v>498</v>
      </c>
      <c r="D5" s="14">
        <v>1727773.25</v>
      </c>
      <c r="E5" s="14">
        <v>7045429.6799999997</v>
      </c>
      <c r="F5" s="14">
        <v>2670205.3199999998</v>
      </c>
      <c r="G5" s="14">
        <v>6337519.0199999996</v>
      </c>
      <c r="H5" s="14">
        <v>5582670.8399999999</v>
      </c>
      <c r="I5" s="14">
        <v>3060183.96</v>
      </c>
      <c r="J5" s="14">
        <v>4402072.9799999995</v>
      </c>
      <c r="K5" s="14">
        <v>2511034.7399999998</v>
      </c>
      <c r="L5" s="14">
        <v>3313298.1599999997</v>
      </c>
      <c r="M5" s="14">
        <v>5789286.3599999994</v>
      </c>
      <c r="N5" s="14">
        <v>2682124.92</v>
      </c>
      <c r="O5" s="14">
        <v>6114411.54</v>
      </c>
      <c r="P5" s="8">
        <v>51236010.769999996</v>
      </c>
      <c r="Q5" s="14">
        <v>928469.3</v>
      </c>
      <c r="R5" s="14">
        <v>4027882.5</v>
      </c>
      <c r="S5" s="14">
        <v>1800717.48</v>
      </c>
      <c r="T5" s="14">
        <v>2602078.02</v>
      </c>
      <c r="U5" s="14">
        <v>2680412.04</v>
      </c>
      <c r="V5" s="14">
        <v>5195301.66</v>
      </c>
      <c r="W5" s="14">
        <v>2326962.42</v>
      </c>
      <c r="X5" s="14">
        <v>1958424.2999999998</v>
      </c>
      <c r="Y5" s="14">
        <v>6847607.7000000002</v>
      </c>
      <c r="Z5" s="14">
        <v>6811928.8199999994</v>
      </c>
      <c r="AA5" s="14">
        <v>4317283.08</v>
      </c>
      <c r="AB5" s="14">
        <v>2853607.1399999997</v>
      </c>
      <c r="AC5" s="8">
        <v>42350674.460000001</v>
      </c>
      <c r="AD5" s="14">
        <v>1982282.75</v>
      </c>
      <c r="AE5" s="14">
        <v>3612734.6399999997</v>
      </c>
      <c r="AF5" s="14">
        <v>6359167.6200000001</v>
      </c>
      <c r="AG5" s="14">
        <v>5915025</v>
      </c>
      <c r="AH5" s="14">
        <v>2018325.24</v>
      </c>
      <c r="AI5" s="14">
        <v>6444985.6799999997</v>
      </c>
      <c r="AJ5" s="33">
        <v>3292773.1199999996</v>
      </c>
      <c r="AK5" s="33">
        <v>5213313.8999999994</v>
      </c>
      <c r="AL5" s="33">
        <v>2543523.6599999997</v>
      </c>
      <c r="AM5" s="33">
        <v>2298115.08</v>
      </c>
      <c r="AN5" s="33">
        <v>2486622.06</v>
      </c>
      <c r="AO5" s="33">
        <v>2933002.98</v>
      </c>
      <c r="AP5" s="32">
        <v>45099871.729999989</v>
      </c>
      <c r="AQ5" s="33">
        <v>1323672.4500000002</v>
      </c>
      <c r="AR5" s="33">
        <v>4981744.9799999995</v>
      </c>
      <c r="AS5" s="33">
        <v>4664940.4799999995</v>
      </c>
      <c r="AT5" s="33">
        <v>2785023.1799999997</v>
      </c>
      <c r="AU5" s="33">
        <v>2988892.08</v>
      </c>
      <c r="AV5" s="33">
        <v>4103421.6599999997</v>
      </c>
      <c r="AW5" s="33">
        <v>6621568.2000000002</v>
      </c>
      <c r="AX5" s="33">
        <v>6443571.2400000002</v>
      </c>
      <c r="AY5" s="33">
        <v>2408582.34</v>
      </c>
      <c r="AZ5" s="33">
        <v>3392080.38</v>
      </c>
      <c r="BA5" s="33">
        <v>4789248.3</v>
      </c>
      <c r="BB5" s="33">
        <v>7048646.2799999993</v>
      </c>
      <c r="BC5" s="32">
        <v>51551391.57</v>
      </c>
      <c r="BD5" s="33">
        <v>1251548.5</v>
      </c>
      <c r="BE5" s="33">
        <v>4655525.9399999995</v>
      </c>
      <c r="BF5" s="33">
        <v>5091517.8</v>
      </c>
      <c r="BG5" s="33">
        <v>3827975.04</v>
      </c>
      <c r="BH5" s="33">
        <v>5379376.1399999997</v>
      </c>
      <c r="BI5" s="33">
        <v>4335714.54</v>
      </c>
      <c r="BJ5" s="33">
        <v>4920431.04</v>
      </c>
      <c r="BK5" s="33">
        <v>2755744.02</v>
      </c>
      <c r="BL5" s="33">
        <v>5939878.3199999994</v>
      </c>
      <c r="BM5" s="33">
        <v>6183192.2400000002</v>
      </c>
      <c r="BN5" s="33">
        <v>3047720.58</v>
      </c>
      <c r="BO5" s="33">
        <v>7053271.0199999996</v>
      </c>
      <c r="BP5" s="32">
        <v>54441895.179999992</v>
      </c>
      <c r="BQ5" s="33">
        <v>506804.95</v>
      </c>
      <c r="BR5" s="33">
        <v>6087025.7999999998</v>
      </c>
      <c r="BS5" s="33">
        <v>4711845.24</v>
      </c>
      <c r="BT5" s="33">
        <v>4417308.72</v>
      </c>
      <c r="BU5" s="33">
        <v>6101680.5</v>
      </c>
      <c r="BV5" s="33">
        <v>4594135.8599999994</v>
      </c>
      <c r="BW5" s="33">
        <v>3501284.4</v>
      </c>
      <c r="BX5" s="33">
        <v>4865988.96</v>
      </c>
      <c r="BY5" s="33">
        <v>5469207.4799999995</v>
      </c>
      <c r="BZ5" s="33">
        <v>6759907.0199999996</v>
      </c>
      <c r="CA5" s="33">
        <v>3140774.82</v>
      </c>
      <c r="CB5" s="33">
        <v>5639199.4799999995</v>
      </c>
      <c r="CC5" s="32">
        <v>55795163.229999989</v>
      </c>
      <c r="CD5" s="33">
        <v>772526.5</v>
      </c>
      <c r="CE5" s="33">
        <v>3124470.2399999998</v>
      </c>
      <c r="CF5" s="33">
        <v>3585059.46</v>
      </c>
      <c r="CG5" s="33">
        <v>2077090.5599999998</v>
      </c>
      <c r="CH5" s="33">
        <v>3967725.42</v>
      </c>
      <c r="CI5" s="33">
        <v>6743742.2999999998</v>
      </c>
      <c r="CJ5" s="33">
        <v>4064581.26</v>
      </c>
      <c r="CK5" s="33">
        <v>5501777.04</v>
      </c>
      <c r="CL5" s="33">
        <v>1861153.02</v>
      </c>
      <c r="CM5" s="33">
        <v>5278481.8199999994</v>
      </c>
      <c r="CN5" s="33">
        <v>5875214.3999999994</v>
      </c>
      <c r="CO5" s="33">
        <v>6795392.9399999995</v>
      </c>
      <c r="CP5" s="32">
        <v>49647214.959999993</v>
      </c>
      <c r="CQ5" s="33">
        <v>1035469.3500000001</v>
      </c>
      <c r="CR5" s="33">
        <v>5396454.3599999994</v>
      </c>
      <c r="CS5" s="33">
        <v>5250810.0599999996</v>
      </c>
      <c r="CT5" s="33">
        <v>6519135.4199999999</v>
      </c>
      <c r="CU5" s="33">
        <v>3457823.04</v>
      </c>
      <c r="CV5" s="33">
        <v>2809411.02</v>
      </c>
      <c r="CW5" s="33">
        <v>2213742.2399999998</v>
      </c>
      <c r="CX5" s="33">
        <v>2748920.76</v>
      </c>
      <c r="CY5" s="33">
        <v>4041730.44</v>
      </c>
      <c r="CZ5" s="33">
        <v>5725984.5</v>
      </c>
      <c r="DA5" s="33">
        <v>2082852.9</v>
      </c>
      <c r="DB5" s="33">
        <v>2210187.06</v>
      </c>
      <c r="DC5" s="32">
        <v>43492521.149999999</v>
      </c>
      <c r="DD5" s="33">
        <v>1156317.8</v>
      </c>
      <c r="DE5" s="33">
        <v>3402883.6199999996</v>
      </c>
      <c r="DF5" s="33">
        <v>5533576.9199999999</v>
      </c>
      <c r="DG5" s="33">
        <v>3527304.3</v>
      </c>
      <c r="DH5" s="33">
        <v>5297415.12</v>
      </c>
      <c r="DI5" s="33">
        <v>7123880.5199999996</v>
      </c>
      <c r="DJ5" s="33">
        <v>5805523.2599999998</v>
      </c>
      <c r="DK5" s="33">
        <v>5636245.3199999994</v>
      </c>
      <c r="DL5" s="33">
        <v>2669533.56</v>
      </c>
      <c r="DM5" s="33">
        <v>3127376.1599999997</v>
      </c>
      <c r="DN5" s="33">
        <v>3413302.56</v>
      </c>
      <c r="DO5" s="33">
        <v>6411499.9199999999</v>
      </c>
      <c r="DP5" s="32">
        <v>53104859.060000002</v>
      </c>
      <c r="DQ5" s="33">
        <v>626374.45000000007</v>
      </c>
      <c r="DR5" s="33">
        <v>3236531.2199999997</v>
      </c>
      <c r="DS5" s="33">
        <v>3143529.36</v>
      </c>
      <c r="DT5" s="33">
        <v>5578958.8799999999</v>
      </c>
      <c r="DU5" s="33">
        <v>3909653.28</v>
      </c>
      <c r="DV5" s="33">
        <v>1919232</v>
      </c>
      <c r="DW5" s="33">
        <v>4641511.1399999997</v>
      </c>
      <c r="DX5" s="33">
        <v>5054653.26</v>
      </c>
      <c r="DY5" s="33">
        <v>6586177.8599999994</v>
      </c>
      <c r="DZ5" s="33">
        <v>2828320.92</v>
      </c>
      <c r="EA5" s="33">
        <v>4166872.1999999997</v>
      </c>
      <c r="EB5" s="33">
        <v>5594202</v>
      </c>
      <c r="EC5" s="32">
        <v>47286016.57</v>
      </c>
      <c r="ED5" s="33">
        <v>1054873.6500000001</v>
      </c>
      <c r="EE5" s="33">
        <v>2696663.52</v>
      </c>
      <c r="EF5" s="33">
        <v>6145705.6200000001</v>
      </c>
      <c r="EG5" s="33">
        <v>4521834.18</v>
      </c>
      <c r="EH5" s="33">
        <v>3647580.84</v>
      </c>
      <c r="EI5" s="33">
        <v>7029460.6200000001</v>
      </c>
      <c r="EJ5" s="33">
        <v>7145687.7000000002</v>
      </c>
      <c r="EK5" s="33">
        <v>2416038.2999999998</v>
      </c>
      <c r="EL5" s="33">
        <v>3233159.6399999997</v>
      </c>
      <c r="EM5" s="33">
        <v>6005329.0199999996</v>
      </c>
      <c r="EN5" s="33">
        <v>5298579.3599999994</v>
      </c>
      <c r="EO5" s="33">
        <v>3846925.08</v>
      </c>
      <c r="EP5" s="32">
        <v>53041837.530000001</v>
      </c>
    </row>
    <row r="6" spans="1:147" hidden="1" outlineLevel="1" x14ac:dyDescent="0.3">
      <c r="B6" t="s">
        <v>495</v>
      </c>
      <c r="C6" s="2" t="s">
        <v>520</v>
      </c>
      <c r="D6" s="2">
        <v>88475</v>
      </c>
      <c r="E6" s="2">
        <v>55095</v>
      </c>
      <c r="F6" s="2">
        <v>58569</v>
      </c>
      <c r="G6" s="2">
        <v>86900</v>
      </c>
      <c r="H6" s="2">
        <v>52840</v>
      </c>
      <c r="I6" s="2">
        <v>83938</v>
      </c>
      <c r="J6" s="2">
        <v>64180</v>
      </c>
      <c r="K6" s="2">
        <v>85044</v>
      </c>
      <c r="L6" s="2">
        <v>52013</v>
      </c>
      <c r="M6" s="2">
        <v>70747</v>
      </c>
      <c r="N6" s="2">
        <v>58365</v>
      </c>
      <c r="O6" s="2">
        <v>82106</v>
      </c>
      <c r="P6" s="8">
        <v>838272</v>
      </c>
      <c r="Q6" s="2">
        <v>63814</v>
      </c>
      <c r="R6" s="2">
        <v>76513</v>
      </c>
      <c r="S6" s="2">
        <v>72535</v>
      </c>
      <c r="T6" s="2">
        <v>69781</v>
      </c>
      <c r="U6" s="2">
        <v>56920</v>
      </c>
      <c r="V6" s="2">
        <v>66220</v>
      </c>
      <c r="W6" s="2">
        <v>68005</v>
      </c>
      <c r="X6" s="2">
        <v>68198</v>
      </c>
      <c r="Y6" s="2">
        <v>69383</v>
      </c>
      <c r="Z6" s="2">
        <v>77620</v>
      </c>
      <c r="AA6" s="2">
        <v>75364</v>
      </c>
      <c r="AB6" s="2">
        <v>59334</v>
      </c>
      <c r="AC6" s="8">
        <v>823687</v>
      </c>
      <c r="AD6" s="2">
        <v>80262</v>
      </c>
      <c r="AE6" s="2">
        <v>69050</v>
      </c>
      <c r="AF6" s="2">
        <v>87712</v>
      </c>
      <c r="AG6" s="2">
        <v>54553</v>
      </c>
      <c r="AH6" s="2">
        <v>84226</v>
      </c>
      <c r="AI6" s="2">
        <v>76959</v>
      </c>
      <c r="AJ6" s="31">
        <v>84545</v>
      </c>
      <c r="AK6" s="31">
        <v>64652</v>
      </c>
      <c r="AL6" s="31">
        <v>61903</v>
      </c>
      <c r="AM6" s="31">
        <v>67660</v>
      </c>
      <c r="AN6" s="31">
        <v>68983</v>
      </c>
      <c r="AO6" s="31">
        <v>69511</v>
      </c>
      <c r="AP6" s="32">
        <v>870016</v>
      </c>
      <c r="AQ6" s="31">
        <v>79226</v>
      </c>
      <c r="AR6" s="31">
        <v>87968</v>
      </c>
      <c r="AS6" s="31">
        <v>70711</v>
      </c>
      <c r="AT6" s="31">
        <v>69237</v>
      </c>
      <c r="AU6" s="31">
        <v>54033</v>
      </c>
      <c r="AV6" s="31">
        <v>89440</v>
      </c>
      <c r="AW6" s="31">
        <v>62398</v>
      </c>
      <c r="AX6" s="31">
        <v>69879</v>
      </c>
      <c r="AY6" s="31">
        <v>55992</v>
      </c>
      <c r="AZ6" s="31">
        <v>71313</v>
      </c>
      <c r="BA6" s="31">
        <v>86789</v>
      </c>
      <c r="BB6" s="31">
        <v>53279</v>
      </c>
      <c r="BC6" s="32">
        <v>850265</v>
      </c>
      <c r="BD6" s="31">
        <v>74304</v>
      </c>
      <c r="BE6" s="31">
        <v>86283</v>
      </c>
      <c r="BF6" s="31">
        <v>67115</v>
      </c>
      <c r="BG6" s="31">
        <v>51909</v>
      </c>
      <c r="BH6" s="31">
        <v>60027</v>
      </c>
      <c r="BI6" s="31">
        <v>50831</v>
      </c>
      <c r="BJ6" s="31">
        <v>81472</v>
      </c>
      <c r="BK6" s="31">
        <v>74956</v>
      </c>
      <c r="BL6" s="31">
        <v>62599</v>
      </c>
      <c r="BM6" s="31">
        <v>62187</v>
      </c>
      <c r="BN6" s="31">
        <v>57028</v>
      </c>
      <c r="BO6" s="31">
        <v>74482</v>
      </c>
      <c r="BP6" s="32">
        <v>803193</v>
      </c>
      <c r="BQ6" s="31">
        <v>74051</v>
      </c>
      <c r="BR6" s="31">
        <v>54391</v>
      </c>
      <c r="BS6" s="31">
        <v>54171</v>
      </c>
      <c r="BT6" s="31">
        <v>61115</v>
      </c>
      <c r="BU6" s="31">
        <v>80029</v>
      </c>
      <c r="BV6" s="31">
        <v>88821</v>
      </c>
      <c r="BW6" s="31">
        <v>70971</v>
      </c>
      <c r="BX6" s="31">
        <v>67918</v>
      </c>
      <c r="BY6" s="31">
        <v>60358</v>
      </c>
      <c r="BZ6" s="31">
        <v>83019</v>
      </c>
      <c r="CA6" s="31">
        <v>68067</v>
      </c>
      <c r="CB6" s="31">
        <v>55502</v>
      </c>
      <c r="CC6" s="32">
        <v>818413</v>
      </c>
      <c r="CD6" s="31">
        <v>89776</v>
      </c>
      <c r="CE6" s="31">
        <v>75872</v>
      </c>
      <c r="CF6" s="31">
        <v>87386</v>
      </c>
      <c r="CG6" s="31">
        <v>82290</v>
      </c>
      <c r="CH6" s="31">
        <v>89348</v>
      </c>
      <c r="CI6" s="31">
        <v>64540</v>
      </c>
      <c r="CJ6" s="31">
        <v>53186</v>
      </c>
      <c r="CK6" s="31">
        <v>75938</v>
      </c>
      <c r="CL6" s="31">
        <v>72338</v>
      </c>
      <c r="CM6" s="31">
        <v>64067</v>
      </c>
      <c r="CN6" s="31">
        <v>78585</v>
      </c>
      <c r="CO6" s="31">
        <v>66234</v>
      </c>
      <c r="CP6" s="32">
        <v>899560</v>
      </c>
      <c r="CQ6" s="31">
        <v>60304</v>
      </c>
      <c r="CR6" s="31">
        <v>70407</v>
      </c>
      <c r="CS6" s="31">
        <v>88293</v>
      </c>
      <c r="CT6" s="31">
        <v>63706</v>
      </c>
      <c r="CU6" s="31">
        <v>86673</v>
      </c>
      <c r="CV6" s="31">
        <v>88213</v>
      </c>
      <c r="CW6" s="31">
        <v>65114</v>
      </c>
      <c r="CX6" s="31">
        <v>52540</v>
      </c>
      <c r="CY6" s="31">
        <v>53998</v>
      </c>
      <c r="CZ6" s="31">
        <v>50576</v>
      </c>
      <c r="DA6" s="31">
        <v>68470</v>
      </c>
      <c r="DB6" s="31">
        <v>72797</v>
      </c>
      <c r="DC6" s="32">
        <v>821091</v>
      </c>
      <c r="DD6" s="31">
        <v>65908</v>
      </c>
      <c r="DE6" s="31">
        <v>56629</v>
      </c>
      <c r="DF6" s="31">
        <v>53464</v>
      </c>
      <c r="DG6" s="31">
        <v>54444</v>
      </c>
      <c r="DH6" s="31">
        <v>88369</v>
      </c>
      <c r="DI6" s="31">
        <v>67196</v>
      </c>
      <c r="DJ6" s="31">
        <v>84932</v>
      </c>
      <c r="DK6" s="31">
        <v>63547</v>
      </c>
      <c r="DL6" s="31">
        <v>55404</v>
      </c>
      <c r="DM6" s="31">
        <v>60298</v>
      </c>
      <c r="DN6" s="31">
        <v>53524</v>
      </c>
      <c r="DO6" s="31">
        <v>54730</v>
      </c>
      <c r="DP6" s="32">
        <v>758445</v>
      </c>
      <c r="DQ6" s="31">
        <v>61931</v>
      </c>
      <c r="DR6" s="31">
        <v>75332</v>
      </c>
      <c r="DS6" s="31">
        <v>77806</v>
      </c>
      <c r="DT6" s="31">
        <v>73302</v>
      </c>
      <c r="DU6" s="31">
        <v>55232</v>
      </c>
      <c r="DV6" s="31">
        <v>74681</v>
      </c>
      <c r="DW6" s="31">
        <v>56898</v>
      </c>
      <c r="DX6" s="31">
        <v>74164</v>
      </c>
      <c r="DY6" s="31">
        <v>85228</v>
      </c>
      <c r="DZ6" s="31">
        <v>89978</v>
      </c>
      <c r="EA6" s="31">
        <v>77490</v>
      </c>
      <c r="EB6" s="31">
        <v>74574</v>
      </c>
      <c r="EC6" s="32">
        <v>876616</v>
      </c>
      <c r="ED6" s="31">
        <v>67822</v>
      </c>
      <c r="EE6" s="31">
        <v>70056</v>
      </c>
      <c r="EF6" s="31">
        <v>74100</v>
      </c>
      <c r="EG6" s="31">
        <v>88843</v>
      </c>
      <c r="EH6" s="31">
        <v>80263</v>
      </c>
      <c r="EI6" s="31">
        <v>55307</v>
      </c>
      <c r="EJ6" s="31">
        <v>53752</v>
      </c>
      <c r="EK6" s="31">
        <v>66071</v>
      </c>
      <c r="EL6" s="31">
        <v>63073</v>
      </c>
      <c r="EM6" s="31">
        <v>71931</v>
      </c>
      <c r="EN6" s="31">
        <v>62539</v>
      </c>
      <c r="EO6" s="31">
        <v>64079</v>
      </c>
      <c r="EP6" s="32">
        <v>817836</v>
      </c>
    </row>
    <row r="7" spans="1:147" hidden="1" outlineLevel="1" x14ac:dyDescent="0.3">
      <c r="B7" t="s">
        <v>495</v>
      </c>
      <c r="C7" s="2" t="s">
        <v>496</v>
      </c>
      <c r="D7" s="2">
        <v>168742</v>
      </c>
      <c r="E7" s="2">
        <v>125941</v>
      </c>
      <c r="F7" s="2">
        <v>127461</v>
      </c>
      <c r="G7" s="2">
        <v>172681</v>
      </c>
      <c r="H7" s="2">
        <v>117086</v>
      </c>
      <c r="I7" s="2">
        <v>175448</v>
      </c>
      <c r="J7" s="2">
        <v>182078</v>
      </c>
      <c r="K7" s="2">
        <v>149385</v>
      </c>
      <c r="L7" s="2">
        <v>167954</v>
      </c>
      <c r="M7" s="2">
        <v>154441</v>
      </c>
      <c r="N7" s="2">
        <v>154026</v>
      </c>
      <c r="O7" s="2">
        <v>100510</v>
      </c>
      <c r="P7" s="8">
        <v>1795753</v>
      </c>
      <c r="Q7" s="2">
        <v>113012</v>
      </c>
      <c r="R7" s="2">
        <v>183542</v>
      </c>
      <c r="S7" s="2">
        <v>141633</v>
      </c>
      <c r="T7" s="2">
        <v>157418</v>
      </c>
      <c r="U7" s="2">
        <v>151725</v>
      </c>
      <c r="V7" s="2">
        <v>126745</v>
      </c>
      <c r="W7" s="2">
        <v>140254</v>
      </c>
      <c r="X7" s="2">
        <v>166986</v>
      </c>
      <c r="Y7" s="2">
        <v>119831</v>
      </c>
      <c r="Z7" s="2">
        <v>191056</v>
      </c>
      <c r="AA7" s="2">
        <v>118109</v>
      </c>
      <c r="AB7" s="2">
        <v>130666</v>
      </c>
      <c r="AC7" s="8">
        <v>1740977</v>
      </c>
      <c r="AD7" s="2">
        <v>131641</v>
      </c>
      <c r="AE7" s="2">
        <v>199075</v>
      </c>
      <c r="AF7" s="2">
        <v>183886</v>
      </c>
      <c r="AG7" s="2">
        <v>113202</v>
      </c>
      <c r="AH7" s="2">
        <v>101861</v>
      </c>
      <c r="AI7" s="2">
        <v>154783</v>
      </c>
      <c r="AJ7" s="31">
        <v>158318</v>
      </c>
      <c r="AK7" s="31">
        <v>111840</v>
      </c>
      <c r="AL7" s="31">
        <v>173826</v>
      </c>
      <c r="AM7" s="31">
        <v>165130</v>
      </c>
      <c r="AN7" s="31">
        <v>147726</v>
      </c>
      <c r="AO7" s="31">
        <v>174034</v>
      </c>
      <c r="AP7" s="32">
        <v>1815322</v>
      </c>
      <c r="AQ7" s="31">
        <v>119545</v>
      </c>
      <c r="AR7" s="31">
        <v>190055</v>
      </c>
      <c r="AS7" s="31">
        <v>182674</v>
      </c>
      <c r="AT7" s="31">
        <v>127702</v>
      </c>
      <c r="AU7" s="31">
        <v>181187</v>
      </c>
      <c r="AV7" s="31">
        <v>144129</v>
      </c>
      <c r="AW7" s="31">
        <v>119493</v>
      </c>
      <c r="AX7" s="31">
        <v>119759</v>
      </c>
      <c r="AY7" s="31">
        <v>124777</v>
      </c>
      <c r="AZ7" s="31">
        <v>154684</v>
      </c>
      <c r="BA7" s="31">
        <v>180187</v>
      </c>
      <c r="BB7" s="31">
        <v>176040</v>
      </c>
      <c r="BC7" s="32">
        <v>1820232</v>
      </c>
      <c r="BD7" s="31">
        <v>162782</v>
      </c>
      <c r="BE7" s="31">
        <v>161969</v>
      </c>
      <c r="BF7" s="31">
        <v>147978</v>
      </c>
      <c r="BG7" s="31">
        <v>116025</v>
      </c>
      <c r="BH7" s="31">
        <v>168559</v>
      </c>
      <c r="BI7" s="31">
        <v>148107</v>
      </c>
      <c r="BJ7" s="31">
        <v>189238</v>
      </c>
      <c r="BK7" s="31">
        <v>132723</v>
      </c>
      <c r="BL7" s="31">
        <v>182032</v>
      </c>
      <c r="BM7" s="31">
        <v>124562</v>
      </c>
      <c r="BN7" s="31">
        <v>145809</v>
      </c>
      <c r="BO7" s="31">
        <v>169059</v>
      </c>
      <c r="BP7" s="32">
        <v>1848843</v>
      </c>
      <c r="BQ7" s="31">
        <v>115362</v>
      </c>
      <c r="BR7" s="31">
        <v>189161</v>
      </c>
      <c r="BS7" s="31">
        <v>152829</v>
      </c>
      <c r="BT7" s="31">
        <v>194203</v>
      </c>
      <c r="BU7" s="31">
        <v>166097</v>
      </c>
      <c r="BV7" s="31">
        <v>108498</v>
      </c>
      <c r="BW7" s="31">
        <v>129607</v>
      </c>
      <c r="BX7" s="31">
        <v>106779</v>
      </c>
      <c r="BY7" s="31">
        <v>137509</v>
      </c>
      <c r="BZ7" s="31">
        <v>190123</v>
      </c>
      <c r="CA7" s="31">
        <v>183793</v>
      </c>
      <c r="CB7" s="31">
        <v>134377</v>
      </c>
      <c r="CC7" s="32">
        <v>1808338</v>
      </c>
      <c r="CD7" s="31">
        <v>189576</v>
      </c>
      <c r="CE7" s="31">
        <v>191921</v>
      </c>
      <c r="CF7" s="31">
        <v>100465</v>
      </c>
      <c r="CG7" s="31">
        <v>186249</v>
      </c>
      <c r="CH7" s="31">
        <v>139437</v>
      </c>
      <c r="CI7" s="31">
        <v>130620</v>
      </c>
      <c r="CJ7" s="31">
        <v>194474</v>
      </c>
      <c r="CK7" s="31">
        <v>119083</v>
      </c>
      <c r="CL7" s="31">
        <v>186804</v>
      </c>
      <c r="CM7" s="31">
        <v>152373</v>
      </c>
      <c r="CN7" s="31">
        <v>173675</v>
      </c>
      <c r="CO7" s="31">
        <v>182860</v>
      </c>
      <c r="CP7" s="32">
        <v>1947537</v>
      </c>
      <c r="CQ7" s="31">
        <v>169996</v>
      </c>
      <c r="CR7" s="31">
        <v>104471</v>
      </c>
      <c r="CS7" s="31">
        <v>155127</v>
      </c>
      <c r="CT7" s="31">
        <v>127217</v>
      </c>
      <c r="CU7" s="31">
        <v>163239</v>
      </c>
      <c r="CV7" s="31">
        <v>113071</v>
      </c>
      <c r="CW7" s="31">
        <v>173952</v>
      </c>
      <c r="CX7" s="31">
        <v>119731</v>
      </c>
      <c r="CY7" s="31">
        <v>151359</v>
      </c>
      <c r="CZ7" s="31">
        <v>144168</v>
      </c>
      <c r="DA7" s="31">
        <v>112061</v>
      </c>
      <c r="DB7" s="31">
        <v>157397</v>
      </c>
      <c r="DC7" s="32">
        <v>1691789</v>
      </c>
      <c r="DD7" s="31">
        <v>157878</v>
      </c>
      <c r="DE7" s="31">
        <v>170764</v>
      </c>
      <c r="DF7" s="31">
        <v>199314</v>
      </c>
      <c r="DG7" s="31">
        <v>127526</v>
      </c>
      <c r="DH7" s="31">
        <v>159365</v>
      </c>
      <c r="DI7" s="31">
        <v>153104</v>
      </c>
      <c r="DJ7" s="31">
        <v>193819</v>
      </c>
      <c r="DK7" s="31">
        <v>179270</v>
      </c>
      <c r="DL7" s="31">
        <v>102989</v>
      </c>
      <c r="DM7" s="31">
        <v>141794</v>
      </c>
      <c r="DN7" s="31">
        <v>177552</v>
      </c>
      <c r="DO7" s="31">
        <v>163866</v>
      </c>
      <c r="DP7" s="32">
        <v>1927241</v>
      </c>
      <c r="DQ7" s="31">
        <v>141542</v>
      </c>
      <c r="DR7" s="31">
        <v>195882</v>
      </c>
      <c r="DS7" s="31">
        <v>194189</v>
      </c>
      <c r="DT7" s="31">
        <v>105978</v>
      </c>
      <c r="DU7" s="31">
        <v>113824</v>
      </c>
      <c r="DV7" s="31">
        <v>180627</v>
      </c>
      <c r="DW7" s="31">
        <v>139828</v>
      </c>
      <c r="DX7" s="31">
        <v>140576</v>
      </c>
      <c r="DY7" s="31">
        <v>132807</v>
      </c>
      <c r="DZ7" s="31">
        <v>185418</v>
      </c>
      <c r="EA7" s="31">
        <v>114545</v>
      </c>
      <c r="EB7" s="31">
        <v>143602</v>
      </c>
      <c r="EC7" s="32">
        <v>1788818</v>
      </c>
      <c r="ED7" s="31">
        <v>197081</v>
      </c>
      <c r="EE7" s="31">
        <v>106691</v>
      </c>
      <c r="EF7" s="31">
        <v>185609</v>
      </c>
      <c r="EG7" s="31">
        <v>110365</v>
      </c>
      <c r="EH7" s="31">
        <v>199324</v>
      </c>
      <c r="EI7" s="31">
        <v>130355</v>
      </c>
      <c r="EJ7" s="31">
        <v>160029</v>
      </c>
      <c r="EK7" s="31">
        <v>179205</v>
      </c>
      <c r="EL7" s="31">
        <v>141710</v>
      </c>
      <c r="EM7" s="31">
        <v>122199</v>
      </c>
      <c r="EN7" s="31">
        <v>160938</v>
      </c>
      <c r="EO7" s="31">
        <v>173190</v>
      </c>
      <c r="EP7" s="32">
        <v>1866696</v>
      </c>
    </row>
    <row r="8" spans="1:147" hidden="1" outlineLevel="1" x14ac:dyDescent="0.3">
      <c r="B8" t="s">
        <v>495</v>
      </c>
      <c r="C8" s="2" t="s">
        <v>497</v>
      </c>
      <c r="D8" s="2">
        <v>15464</v>
      </c>
      <c r="E8" s="2">
        <v>18724</v>
      </c>
      <c r="F8" s="2">
        <v>14026</v>
      </c>
      <c r="G8" s="2">
        <v>15740</v>
      </c>
      <c r="H8" s="2">
        <v>11951</v>
      </c>
      <c r="I8" s="2">
        <v>14602</v>
      </c>
      <c r="J8" s="2">
        <v>17735</v>
      </c>
      <c r="K8" s="2">
        <v>13460</v>
      </c>
      <c r="L8" s="2">
        <v>12529</v>
      </c>
      <c r="M8" s="2">
        <v>16999</v>
      </c>
      <c r="N8" s="2">
        <v>13447</v>
      </c>
      <c r="O8" s="2">
        <v>10896</v>
      </c>
      <c r="P8" s="8">
        <v>175573</v>
      </c>
      <c r="Q8" s="2">
        <v>19571</v>
      </c>
      <c r="R8" s="2">
        <v>12797</v>
      </c>
      <c r="S8" s="2">
        <v>12751</v>
      </c>
      <c r="T8" s="2">
        <v>11868</v>
      </c>
      <c r="U8" s="2">
        <v>19290</v>
      </c>
      <c r="V8" s="2">
        <v>10745</v>
      </c>
      <c r="W8" s="2">
        <v>15084</v>
      </c>
      <c r="X8" s="2">
        <v>16739</v>
      </c>
      <c r="Y8" s="2">
        <v>10617</v>
      </c>
      <c r="Z8" s="2">
        <v>17202</v>
      </c>
      <c r="AA8" s="2">
        <v>18188</v>
      </c>
      <c r="AB8" s="2">
        <v>13961</v>
      </c>
      <c r="AC8" s="8">
        <v>178813</v>
      </c>
      <c r="AD8" s="2">
        <v>13882</v>
      </c>
      <c r="AE8" s="2">
        <v>12319</v>
      </c>
      <c r="AF8" s="2">
        <v>16480</v>
      </c>
      <c r="AG8" s="2">
        <v>12300</v>
      </c>
      <c r="AH8" s="2">
        <v>17205</v>
      </c>
      <c r="AI8" s="2">
        <v>15797</v>
      </c>
      <c r="AJ8" s="31">
        <v>11676</v>
      </c>
      <c r="AK8" s="31">
        <v>13402</v>
      </c>
      <c r="AL8" s="31">
        <v>17321</v>
      </c>
      <c r="AM8" s="31">
        <v>11830</v>
      </c>
      <c r="AN8" s="31">
        <v>17338</v>
      </c>
      <c r="AO8" s="31">
        <v>18924</v>
      </c>
      <c r="AP8" s="32">
        <v>178474</v>
      </c>
      <c r="AQ8" s="31">
        <v>19300</v>
      </c>
      <c r="AR8" s="31">
        <v>12981</v>
      </c>
      <c r="AS8" s="31">
        <v>15737</v>
      </c>
      <c r="AT8" s="31">
        <v>11508</v>
      </c>
      <c r="AU8" s="31">
        <v>15358</v>
      </c>
      <c r="AV8" s="31">
        <v>12109</v>
      </c>
      <c r="AW8" s="31">
        <v>14105</v>
      </c>
      <c r="AX8" s="31">
        <v>18709</v>
      </c>
      <c r="AY8" s="31">
        <v>16607</v>
      </c>
      <c r="AZ8" s="31">
        <v>13956</v>
      </c>
      <c r="BA8" s="31">
        <v>14626</v>
      </c>
      <c r="BB8" s="31">
        <v>16448</v>
      </c>
      <c r="BC8" s="32">
        <v>181444</v>
      </c>
      <c r="BD8" s="31">
        <v>15310</v>
      </c>
      <c r="BE8" s="31">
        <v>11963</v>
      </c>
      <c r="BF8" s="31">
        <v>11967</v>
      </c>
      <c r="BG8" s="31">
        <v>12848</v>
      </c>
      <c r="BH8" s="31">
        <v>10432</v>
      </c>
      <c r="BI8" s="31">
        <v>12064</v>
      </c>
      <c r="BJ8" s="31">
        <v>11758</v>
      </c>
      <c r="BK8" s="31">
        <v>17437</v>
      </c>
      <c r="BL8" s="31">
        <v>12589</v>
      </c>
      <c r="BM8" s="31">
        <v>10209</v>
      </c>
      <c r="BN8" s="31">
        <v>11677</v>
      </c>
      <c r="BO8" s="31">
        <v>17918</v>
      </c>
      <c r="BP8" s="32">
        <v>156172</v>
      </c>
      <c r="BQ8" s="31">
        <v>16353</v>
      </c>
      <c r="BR8" s="31">
        <v>13220</v>
      </c>
      <c r="BS8" s="31">
        <v>18356</v>
      </c>
      <c r="BT8" s="31">
        <v>15805</v>
      </c>
      <c r="BU8" s="31">
        <v>12438</v>
      </c>
      <c r="BV8" s="31">
        <v>12930</v>
      </c>
      <c r="BW8" s="31">
        <v>10215</v>
      </c>
      <c r="BX8" s="31">
        <v>18861</v>
      </c>
      <c r="BY8" s="31">
        <v>13173</v>
      </c>
      <c r="BZ8" s="31">
        <v>13113</v>
      </c>
      <c r="CA8" s="31">
        <v>14006</v>
      </c>
      <c r="CB8" s="31">
        <v>17179</v>
      </c>
      <c r="CC8" s="32">
        <v>175649</v>
      </c>
      <c r="CD8" s="31">
        <v>16014</v>
      </c>
      <c r="CE8" s="31">
        <v>11872</v>
      </c>
      <c r="CF8" s="31">
        <v>17832</v>
      </c>
      <c r="CG8" s="31">
        <v>10133</v>
      </c>
      <c r="CH8" s="31">
        <v>12814</v>
      </c>
      <c r="CI8" s="31">
        <v>12721</v>
      </c>
      <c r="CJ8" s="31">
        <v>11961</v>
      </c>
      <c r="CK8" s="31">
        <v>15508</v>
      </c>
      <c r="CL8" s="31">
        <v>14010</v>
      </c>
      <c r="CM8" s="31">
        <v>12753</v>
      </c>
      <c r="CN8" s="31">
        <v>12815</v>
      </c>
      <c r="CO8" s="31">
        <v>12071</v>
      </c>
      <c r="CP8" s="32">
        <v>160504</v>
      </c>
      <c r="CQ8" s="31">
        <v>15226</v>
      </c>
      <c r="CR8" s="31">
        <v>19995</v>
      </c>
      <c r="CS8" s="31">
        <v>14848</v>
      </c>
      <c r="CT8" s="31">
        <v>18148</v>
      </c>
      <c r="CU8" s="31">
        <v>10639</v>
      </c>
      <c r="CV8" s="31">
        <v>12867</v>
      </c>
      <c r="CW8" s="31">
        <v>12189</v>
      </c>
      <c r="CX8" s="31">
        <v>18311</v>
      </c>
      <c r="CY8" s="31">
        <v>15217</v>
      </c>
      <c r="CZ8" s="31">
        <v>18731</v>
      </c>
      <c r="DA8" s="31">
        <v>11578</v>
      </c>
      <c r="DB8" s="31">
        <v>10806</v>
      </c>
      <c r="DC8" s="32">
        <v>178555</v>
      </c>
      <c r="DD8" s="31">
        <v>17818</v>
      </c>
      <c r="DE8" s="31">
        <v>10476</v>
      </c>
      <c r="DF8" s="31">
        <v>18024</v>
      </c>
      <c r="DG8" s="31">
        <v>11003</v>
      </c>
      <c r="DH8" s="31">
        <v>11889</v>
      </c>
      <c r="DI8" s="31">
        <v>13703</v>
      </c>
      <c r="DJ8" s="31">
        <v>14947</v>
      </c>
      <c r="DK8" s="31">
        <v>19618</v>
      </c>
      <c r="DL8" s="31">
        <v>13851</v>
      </c>
      <c r="DM8" s="31">
        <v>14637</v>
      </c>
      <c r="DN8" s="31">
        <v>15115</v>
      </c>
      <c r="DO8" s="31">
        <v>12212</v>
      </c>
      <c r="DP8" s="32">
        <v>173293</v>
      </c>
      <c r="DQ8" s="31">
        <v>17327</v>
      </c>
      <c r="DR8" s="31">
        <v>11774</v>
      </c>
      <c r="DS8" s="31">
        <v>12093</v>
      </c>
      <c r="DT8" s="31">
        <v>15867</v>
      </c>
      <c r="DU8" s="31">
        <v>15332</v>
      </c>
      <c r="DV8" s="31">
        <v>13228</v>
      </c>
      <c r="DW8" s="31">
        <v>13700</v>
      </c>
      <c r="DX8" s="31">
        <v>15876</v>
      </c>
      <c r="DY8" s="31">
        <v>17886</v>
      </c>
      <c r="DZ8" s="31">
        <v>19773</v>
      </c>
      <c r="EA8" s="31">
        <v>10662</v>
      </c>
      <c r="EB8" s="31">
        <v>14157</v>
      </c>
      <c r="EC8" s="32">
        <v>177675</v>
      </c>
      <c r="ED8" s="31">
        <v>10586</v>
      </c>
      <c r="EE8" s="31">
        <v>14156</v>
      </c>
      <c r="EF8" s="31">
        <v>19471</v>
      </c>
      <c r="EG8" s="31">
        <v>14497</v>
      </c>
      <c r="EH8" s="31">
        <v>18064</v>
      </c>
      <c r="EI8" s="31">
        <v>11021</v>
      </c>
      <c r="EJ8" s="31">
        <v>16241</v>
      </c>
      <c r="EK8" s="31">
        <v>10793</v>
      </c>
      <c r="EL8" s="31">
        <v>16569</v>
      </c>
      <c r="EM8" s="31">
        <v>10911</v>
      </c>
      <c r="EN8" s="31">
        <v>11623</v>
      </c>
      <c r="EO8" s="31">
        <v>11645</v>
      </c>
      <c r="EP8" s="32">
        <v>165577</v>
      </c>
    </row>
    <row r="9" spans="1:147" s="38" customFormat="1" collapsed="1" x14ac:dyDescent="0.3">
      <c r="C9" s="35" t="s">
        <v>518</v>
      </c>
      <c r="D9" s="36">
        <f>SUM(D5:D8)</f>
        <v>2000454.25</v>
      </c>
      <c r="E9" s="36">
        <f t="shared" ref="E9:BP9" si="0">SUM(E5:E8)</f>
        <v>7245189.6799999997</v>
      </c>
      <c r="F9" s="36">
        <f t="shared" si="0"/>
        <v>2870261.32</v>
      </c>
      <c r="G9" s="36">
        <f t="shared" si="0"/>
        <v>6612840.0199999996</v>
      </c>
      <c r="H9" s="36">
        <f t="shared" si="0"/>
        <v>5764547.8399999999</v>
      </c>
      <c r="I9" s="36">
        <f t="shared" si="0"/>
        <v>3334171.96</v>
      </c>
      <c r="J9" s="36">
        <f t="shared" si="0"/>
        <v>4666065.9799999995</v>
      </c>
      <c r="K9" s="36">
        <f t="shared" si="0"/>
        <v>2758923.7399999998</v>
      </c>
      <c r="L9" s="36">
        <f t="shared" si="0"/>
        <v>3545794.1599999997</v>
      </c>
      <c r="M9" s="36">
        <f t="shared" si="0"/>
        <v>6031473.3599999994</v>
      </c>
      <c r="N9" s="36">
        <f t="shared" si="0"/>
        <v>2907962.92</v>
      </c>
      <c r="O9" s="36">
        <f t="shared" si="0"/>
        <v>6307923.54</v>
      </c>
      <c r="P9" s="36">
        <f t="shared" si="0"/>
        <v>54045608.769999996</v>
      </c>
      <c r="Q9" s="36">
        <f t="shared" si="0"/>
        <v>1124866.3</v>
      </c>
      <c r="R9" s="36">
        <f t="shared" si="0"/>
        <v>4300734.5</v>
      </c>
      <c r="S9" s="36">
        <f t="shared" si="0"/>
        <v>2027636.48</v>
      </c>
      <c r="T9" s="36">
        <f t="shared" si="0"/>
        <v>2841145.02</v>
      </c>
      <c r="U9" s="36">
        <f t="shared" si="0"/>
        <v>2908347.04</v>
      </c>
      <c r="V9" s="36">
        <f t="shared" si="0"/>
        <v>5399011.6600000001</v>
      </c>
      <c r="W9" s="36">
        <f t="shared" si="0"/>
        <v>2550305.42</v>
      </c>
      <c r="X9" s="36">
        <f t="shared" si="0"/>
        <v>2210347.2999999998</v>
      </c>
      <c r="Y9" s="36">
        <f t="shared" si="0"/>
        <v>7047438.7000000002</v>
      </c>
      <c r="Z9" s="36">
        <f t="shared" si="0"/>
        <v>7097806.8199999994</v>
      </c>
      <c r="AA9" s="36">
        <f t="shared" si="0"/>
        <v>4528944.08</v>
      </c>
      <c r="AB9" s="36">
        <f t="shared" si="0"/>
        <v>3057568.1399999997</v>
      </c>
      <c r="AC9" s="36">
        <f t="shared" si="0"/>
        <v>45094151.460000001</v>
      </c>
      <c r="AD9" s="36">
        <f t="shared" si="0"/>
        <v>2208067.75</v>
      </c>
      <c r="AE9" s="36">
        <f t="shared" si="0"/>
        <v>3893178.6399999997</v>
      </c>
      <c r="AF9" s="36">
        <f t="shared" si="0"/>
        <v>6647245.6200000001</v>
      </c>
      <c r="AG9" s="36">
        <f t="shared" si="0"/>
        <v>6095080</v>
      </c>
      <c r="AH9" s="36">
        <f t="shared" si="0"/>
        <v>2221617.2400000002</v>
      </c>
      <c r="AI9" s="36">
        <f t="shared" si="0"/>
        <v>6692524.6799999997</v>
      </c>
      <c r="AJ9" s="37">
        <f t="shared" si="0"/>
        <v>3547312.1199999996</v>
      </c>
      <c r="AK9" s="37">
        <f t="shared" si="0"/>
        <v>5403207.8999999994</v>
      </c>
      <c r="AL9" s="37">
        <f t="shared" si="0"/>
        <v>2796573.6599999997</v>
      </c>
      <c r="AM9" s="37">
        <f t="shared" si="0"/>
        <v>2542735.08</v>
      </c>
      <c r="AN9" s="37">
        <f t="shared" si="0"/>
        <v>2720669.06</v>
      </c>
      <c r="AO9" s="37">
        <f t="shared" si="0"/>
        <v>3195471.98</v>
      </c>
      <c r="AP9" s="37">
        <f t="shared" si="0"/>
        <v>47963683.729999989</v>
      </c>
      <c r="AQ9" s="37">
        <f t="shared" si="0"/>
        <v>1541743.4500000002</v>
      </c>
      <c r="AR9" s="37">
        <f t="shared" si="0"/>
        <v>5272748.9799999995</v>
      </c>
      <c r="AS9" s="37">
        <f t="shared" si="0"/>
        <v>4934062.4799999995</v>
      </c>
      <c r="AT9" s="37">
        <f t="shared" si="0"/>
        <v>2993470.1799999997</v>
      </c>
      <c r="AU9" s="37">
        <f t="shared" si="0"/>
        <v>3239470.08</v>
      </c>
      <c r="AV9" s="37">
        <f t="shared" si="0"/>
        <v>4349099.66</v>
      </c>
      <c r="AW9" s="37">
        <f t="shared" si="0"/>
        <v>6817564.2000000002</v>
      </c>
      <c r="AX9" s="37">
        <f t="shared" si="0"/>
        <v>6651918.2400000002</v>
      </c>
      <c r="AY9" s="37">
        <f t="shared" si="0"/>
        <v>2605958.34</v>
      </c>
      <c r="AZ9" s="37">
        <f t="shared" si="0"/>
        <v>3632033.38</v>
      </c>
      <c r="BA9" s="37">
        <f t="shared" si="0"/>
        <v>5070850.3</v>
      </c>
      <c r="BB9" s="37">
        <f t="shared" si="0"/>
        <v>7294413.2799999993</v>
      </c>
      <c r="BC9" s="37">
        <f t="shared" si="0"/>
        <v>54403332.57</v>
      </c>
      <c r="BD9" s="37">
        <f t="shared" si="0"/>
        <v>1503944.5</v>
      </c>
      <c r="BE9" s="37">
        <f t="shared" si="0"/>
        <v>4915740.9399999995</v>
      </c>
      <c r="BF9" s="37">
        <f t="shared" si="0"/>
        <v>5318577.8</v>
      </c>
      <c r="BG9" s="37">
        <f t="shared" si="0"/>
        <v>4008757.04</v>
      </c>
      <c r="BH9" s="37">
        <f t="shared" si="0"/>
        <v>5618394.1399999997</v>
      </c>
      <c r="BI9" s="37">
        <f t="shared" si="0"/>
        <v>4546716.54</v>
      </c>
      <c r="BJ9" s="37">
        <f t="shared" si="0"/>
        <v>5202899.04</v>
      </c>
      <c r="BK9" s="37">
        <f t="shared" si="0"/>
        <v>2980860.02</v>
      </c>
      <c r="BL9" s="37">
        <f t="shared" si="0"/>
        <v>6197098.3199999994</v>
      </c>
      <c r="BM9" s="37">
        <f t="shared" si="0"/>
        <v>6380150.2400000002</v>
      </c>
      <c r="BN9" s="37">
        <f t="shared" si="0"/>
        <v>3262234.58</v>
      </c>
      <c r="BO9" s="37">
        <f t="shared" si="0"/>
        <v>7314730.0199999996</v>
      </c>
      <c r="BP9" s="37">
        <f t="shared" si="0"/>
        <v>57250103.179999992</v>
      </c>
      <c r="BQ9" s="37">
        <f t="shared" ref="BQ9:EB9" si="1">SUM(BQ5:BQ8)</f>
        <v>712570.95</v>
      </c>
      <c r="BR9" s="37">
        <f t="shared" si="1"/>
        <v>6343797.7999999998</v>
      </c>
      <c r="BS9" s="37">
        <f t="shared" si="1"/>
        <v>4937201.24</v>
      </c>
      <c r="BT9" s="37">
        <f t="shared" si="1"/>
        <v>4688431.72</v>
      </c>
      <c r="BU9" s="37">
        <f t="shared" si="1"/>
        <v>6360244.5</v>
      </c>
      <c r="BV9" s="37">
        <f t="shared" si="1"/>
        <v>4804384.8599999994</v>
      </c>
      <c r="BW9" s="37">
        <f t="shared" si="1"/>
        <v>3712077.4</v>
      </c>
      <c r="BX9" s="37">
        <f t="shared" si="1"/>
        <v>5059546.96</v>
      </c>
      <c r="BY9" s="37">
        <f t="shared" si="1"/>
        <v>5680247.4799999995</v>
      </c>
      <c r="BZ9" s="37">
        <f t="shared" si="1"/>
        <v>7046162.0199999996</v>
      </c>
      <c r="CA9" s="37">
        <f t="shared" si="1"/>
        <v>3406640.82</v>
      </c>
      <c r="CB9" s="37">
        <f t="shared" si="1"/>
        <v>5846257.4799999995</v>
      </c>
      <c r="CC9" s="37">
        <f t="shared" si="1"/>
        <v>58597563.229999989</v>
      </c>
      <c r="CD9" s="37">
        <f t="shared" si="1"/>
        <v>1067892.5</v>
      </c>
      <c r="CE9" s="37">
        <f t="shared" si="1"/>
        <v>3404135.2399999998</v>
      </c>
      <c r="CF9" s="37">
        <f t="shared" si="1"/>
        <v>3790742.46</v>
      </c>
      <c r="CG9" s="37">
        <f t="shared" si="1"/>
        <v>2355762.5599999996</v>
      </c>
      <c r="CH9" s="37">
        <f t="shared" si="1"/>
        <v>4209324.42</v>
      </c>
      <c r="CI9" s="37">
        <f t="shared" si="1"/>
        <v>6951623.2999999998</v>
      </c>
      <c r="CJ9" s="37">
        <f t="shared" si="1"/>
        <v>4324202.26</v>
      </c>
      <c r="CK9" s="37">
        <f t="shared" si="1"/>
        <v>5712306.04</v>
      </c>
      <c r="CL9" s="37">
        <f t="shared" si="1"/>
        <v>2134305.02</v>
      </c>
      <c r="CM9" s="37">
        <f t="shared" si="1"/>
        <v>5507674.8199999994</v>
      </c>
      <c r="CN9" s="37">
        <f t="shared" si="1"/>
        <v>6140289.3999999994</v>
      </c>
      <c r="CO9" s="37">
        <f t="shared" si="1"/>
        <v>7056557.9399999995</v>
      </c>
      <c r="CP9" s="37">
        <f t="shared" si="1"/>
        <v>52654815.959999993</v>
      </c>
      <c r="CQ9" s="37">
        <f t="shared" si="1"/>
        <v>1280995.3500000001</v>
      </c>
      <c r="CR9" s="37">
        <f t="shared" si="1"/>
        <v>5591327.3599999994</v>
      </c>
      <c r="CS9" s="37">
        <f t="shared" si="1"/>
        <v>5509078.0599999996</v>
      </c>
      <c r="CT9" s="37">
        <f t="shared" si="1"/>
        <v>6728206.4199999999</v>
      </c>
      <c r="CU9" s="37">
        <f t="shared" si="1"/>
        <v>3718374.04</v>
      </c>
      <c r="CV9" s="37">
        <f t="shared" si="1"/>
        <v>3023562.02</v>
      </c>
      <c r="CW9" s="37">
        <f t="shared" si="1"/>
        <v>2464997.2399999998</v>
      </c>
      <c r="CX9" s="37">
        <f t="shared" si="1"/>
        <v>2939502.76</v>
      </c>
      <c r="CY9" s="37">
        <f t="shared" si="1"/>
        <v>4262304.4399999995</v>
      </c>
      <c r="CZ9" s="37">
        <f t="shared" si="1"/>
        <v>5939459.5</v>
      </c>
      <c r="DA9" s="37">
        <f t="shared" si="1"/>
        <v>2274961.9</v>
      </c>
      <c r="DB9" s="37">
        <f t="shared" si="1"/>
        <v>2451187.06</v>
      </c>
      <c r="DC9" s="37">
        <f t="shared" si="1"/>
        <v>46183956.149999999</v>
      </c>
      <c r="DD9" s="37">
        <f t="shared" si="1"/>
        <v>1397921.8</v>
      </c>
      <c r="DE9" s="37">
        <f t="shared" si="1"/>
        <v>3640752.6199999996</v>
      </c>
      <c r="DF9" s="37">
        <f t="shared" si="1"/>
        <v>5804378.9199999999</v>
      </c>
      <c r="DG9" s="37">
        <f t="shared" si="1"/>
        <v>3720277.3</v>
      </c>
      <c r="DH9" s="37">
        <f t="shared" si="1"/>
        <v>5557038.1200000001</v>
      </c>
      <c r="DI9" s="37">
        <f t="shared" si="1"/>
        <v>7357883.5199999996</v>
      </c>
      <c r="DJ9" s="37">
        <f t="shared" si="1"/>
        <v>6099221.2599999998</v>
      </c>
      <c r="DK9" s="37">
        <f t="shared" si="1"/>
        <v>5898680.3199999994</v>
      </c>
      <c r="DL9" s="37">
        <f t="shared" si="1"/>
        <v>2841777.56</v>
      </c>
      <c r="DM9" s="37">
        <f t="shared" si="1"/>
        <v>3344105.1599999997</v>
      </c>
      <c r="DN9" s="37">
        <f t="shared" si="1"/>
        <v>3659493.56</v>
      </c>
      <c r="DO9" s="37">
        <f t="shared" si="1"/>
        <v>6642307.9199999999</v>
      </c>
      <c r="DP9" s="37">
        <f t="shared" si="1"/>
        <v>55963838.060000002</v>
      </c>
      <c r="DQ9" s="37">
        <f t="shared" si="1"/>
        <v>847174.45000000007</v>
      </c>
      <c r="DR9" s="37">
        <f t="shared" si="1"/>
        <v>3519519.2199999997</v>
      </c>
      <c r="DS9" s="37">
        <f t="shared" si="1"/>
        <v>3427617.36</v>
      </c>
      <c r="DT9" s="37">
        <f t="shared" si="1"/>
        <v>5774105.8799999999</v>
      </c>
      <c r="DU9" s="37">
        <f t="shared" si="1"/>
        <v>4094041.28</v>
      </c>
      <c r="DV9" s="37">
        <f t="shared" si="1"/>
        <v>2187768</v>
      </c>
      <c r="DW9" s="37">
        <f t="shared" si="1"/>
        <v>4851937.1399999997</v>
      </c>
      <c r="DX9" s="37">
        <f t="shared" si="1"/>
        <v>5285269.26</v>
      </c>
      <c r="DY9" s="37">
        <f t="shared" si="1"/>
        <v>6822098.8599999994</v>
      </c>
      <c r="DZ9" s="37">
        <f t="shared" si="1"/>
        <v>3123489.92</v>
      </c>
      <c r="EA9" s="37">
        <f t="shared" si="1"/>
        <v>4369569.1999999993</v>
      </c>
      <c r="EB9" s="37">
        <f t="shared" si="1"/>
        <v>5826535</v>
      </c>
      <c r="EC9" s="37">
        <f t="shared" ref="EC9:EP9" si="2">SUM(EC5:EC8)</f>
        <v>50129125.57</v>
      </c>
      <c r="ED9" s="37">
        <f t="shared" si="2"/>
        <v>1330362.6500000001</v>
      </c>
      <c r="EE9" s="37">
        <f t="shared" si="2"/>
        <v>2887566.52</v>
      </c>
      <c r="EF9" s="37">
        <f t="shared" si="2"/>
        <v>6424885.6200000001</v>
      </c>
      <c r="EG9" s="37">
        <f t="shared" si="2"/>
        <v>4735539.18</v>
      </c>
      <c r="EH9" s="37">
        <f t="shared" si="2"/>
        <v>3945231.84</v>
      </c>
      <c r="EI9" s="37">
        <f t="shared" si="2"/>
        <v>7226143.6200000001</v>
      </c>
      <c r="EJ9" s="37">
        <f t="shared" si="2"/>
        <v>7375709.7000000002</v>
      </c>
      <c r="EK9" s="37">
        <f t="shared" si="2"/>
        <v>2672107.2999999998</v>
      </c>
      <c r="EL9" s="37">
        <f t="shared" si="2"/>
        <v>3454511.6399999997</v>
      </c>
      <c r="EM9" s="37">
        <f t="shared" si="2"/>
        <v>6210370.0199999996</v>
      </c>
      <c r="EN9" s="37">
        <f t="shared" si="2"/>
        <v>5533679.3599999994</v>
      </c>
      <c r="EO9" s="37">
        <f t="shared" si="2"/>
        <v>4095839.08</v>
      </c>
      <c r="EP9" s="37">
        <f t="shared" si="2"/>
        <v>55891946.530000001</v>
      </c>
      <c r="EQ9" s="39"/>
    </row>
    <row r="10" spans="1:147" s="38" customFormat="1" x14ac:dyDescent="0.3">
      <c r="C10" s="41" t="s">
        <v>500</v>
      </c>
      <c r="D10" s="40">
        <f>D4-D9</f>
        <v>32555010.75</v>
      </c>
      <c r="E10" s="40">
        <f t="shared" ref="E10:P10" si="3">E4-E9</f>
        <v>31896086.32</v>
      </c>
      <c r="F10" s="40">
        <f t="shared" si="3"/>
        <v>11964212.68</v>
      </c>
      <c r="G10" s="40">
        <f t="shared" si="3"/>
        <v>28595598.98</v>
      </c>
      <c r="H10" s="40">
        <f t="shared" si="3"/>
        <v>25250290.16</v>
      </c>
      <c r="I10" s="40">
        <f t="shared" si="3"/>
        <v>13666850.039999999</v>
      </c>
      <c r="J10" s="40">
        <f t="shared" si="3"/>
        <v>19789895.02</v>
      </c>
      <c r="K10" s="40">
        <f>K4-K9</f>
        <v>11191269.26</v>
      </c>
      <c r="L10" s="40">
        <f t="shared" si="3"/>
        <v>14861417.84</v>
      </c>
      <c r="M10" s="40">
        <f t="shared" si="3"/>
        <v>26131228.640000001</v>
      </c>
      <c r="N10" s="40">
        <f t="shared" si="3"/>
        <v>11992731.08</v>
      </c>
      <c r="O10" s="27">
        <f>O4-O9</f>
        <v>27661029.460000001</v>
      </c>
      <c r="P10" s="27">
        <f t="shared" si="3"/>
        <v>255555620.23000002</v>
      </c>
      <c r="Q10" s="27">
        <f t="shared" ref="Q10" si="4">Q4-Q9</f>
        <v>17444519.699999999</v>
      </c>
      <c r="R10" s="27">
        <f t="shared" ref="R10" si="5">R4-R9</f>
        <v>18076390.5</v>
      </c>
      <c r="S10" s="27">
        <f t="shared" ref="S10" si="6">S4-S9</f>
        <v>7976349.5199999996</v>
      </c>
      <c r="T10" s="27">
        <f t="shared" ref="T10" si="7">T4-T9</f>
        <v>11614843.98</v>
      </c>
      <c r="U10" s="27">
        <f t="shared" ref="U10" si="8">U4-U9</f>
        <v>11982830.960000001</v>
      </c>
      <c r="V10" s="27">
        <f t="shared" ref="V10" si="9">V4-V9</f>
        <v>23463775.34</v>
      </c>
      <c r="W10" s="27">
        <f t="shared" ref="W10" si="10">W4-W9</f>
        <v>10377263.58</v>
      </c>
      <c r="X10" s="27">
        <f t="shared" ref="X10" si="11">X4-X9</f>
        <v>8669787.6999999993</v>
      </c>
      <c r="Y10" s="27">
        <f t="shared" ref="Y10" si="12">Y4-Y9</f>
        <v>30994826.300000001</v>
      </c>
      <c r="Z10" s="27">
        <f t="shared" ref="Z10" si="13">Z4-Z9</f>
        <v>30746242.18</v>
      </c>
      <c r="AA10" s="27">
        <f t="shared" ref="AA10" si="14">AA4-AA9</f>
        <v>19455961.920000002</v>
      </c>
      <c r="AB10" s="27">
        <f t="shared" ref="AB10" si="15">AB4-AB9</f>
        <v>12795804.859999999</v>
      </c>
      <c r="AC10" s="27">
        <f t="shared" ref="AC10" si="16">AC4-AC9</f>
        <v>203598596.53999999</v>
      </c>
      <c r="AD10" s="27">
        <f t="shared" ref="AD10" si="17">AD4-AD9</f>
        <v>37437587.25</v>
      </c>
      <c r="AE10" s="27">
        <f t="shared" ref="AE10" si="18">AE4-AE9</f>
        <v>16177569.359999999</v>
      </c>
      <c r="AF10" s="27">
        <f t="shared" ref="AF10" si="19">AF4-AF9</f>
        <v>28681463.379999999</v>
      </c>
      <c r="AG10" s="27">
        <f t="shared" ref="AG10" si="20">AG4-AG9</f>
        <v>26766170</v>
      </c>
      <c r="AH10" s="27">
        <f t="shared" ref="AH10" si="21">AH4-AH9</f>
        <v>8991300.7599999998</v>
      </c>
      <c r="AI10" s="27">
        <f t="shared" ref="AI10" si="22">AI4-AI9</f>
        <v>29112951.32</v>
      </c>
      <c r="AJ10" s="27">
        <f t="shared" ref="AJ10" si="23">AJ4-AJ9</f>
        <v>14745871.880000001</v>
      </c>
      <c r="AK10" s="27">
        <f t="shared" ref="AK10" si="24">AK4-AK9</f>
        <v>23559647.100000001</v>
      </c>
      <c r="AL10" s="27">
        <f t="shared" ref="AL10" si="25">AL4-AL9</f>
        <v>11334113.34</v>
      </c>
      <c r="AM10" s="27">
        <f t="shared" ref="AM10" si="26">AM4-AM9</f>
        <v>10224570.92</v>
      </c>
      <c r="AN10" s="27">
        <f t="shared" ref="AN10" si="27">AN4-AN9</f>
        <v>11093897.939999999</v>
      </c>
      <c r="AO10" s="27">
        <f t="shared" ref="AO10" si="28">AO4-AO9</f>
        <v>13098989.02</v>
      </c>
      <c r="AP10" s="27">
        <f t="shared" ref="AP10" si="29">AP4-AP9</f>
        <v>231224132.27000001</v>
      </c>
      <c r="AQ10" s="27">
        <f t="shared" ref="AQ10" si="30">AQ4-AQ9</f>
        <v>24931705.550000001</v>
      </c>
      <c r="AR10" s="27">
        <f t="shared" ref="AR10" si="31">AR4-AR9</f>
        <v>22403612.02</v>
      </c>
      <c r="AS10" s="27">
        <f t="shared" ref="AS10" si="32">AS4-AS9</f>
        <v>20982273.52</v>
      </c>
      <c r="AT10" s="27">
        <f t="shared" ref="AT10" si="33">AT4-AT9</f>
        <v>12478880.82</v>
      </c>
      <c r="AU10" s="27">
        <f t="shared" ref="AU10" si="34">AU4-AU9</f>
        <v>13365485.92</v>
      </c>
      <c r="AV10" s="27">
        <f t="shared" ref="AV10" si="35">AV4-AV9</f>
        <v>18447687.34</v>
      </c>
      <c r="AW10" s="27">
        <f t="shared" ref="AW10" si="36">AW4-AW9</f>
        <v>29968925.800000001</v>
      </c>
      <c r="AX10" s="27">
        <f t="shared" ref="AX10" si="37">AX4-AX9</f>
        <v>29145699.759999998</v>
      </c>
      <c r="AY10" s="27">
        <f t="shared" ref="AY10" si="38">AY4-AY9</f>
        <v>10775054.66</v>
      </c>
      <c r="AZ10" s="27">
        <f t="shared" ref="AZ10" si="39">AZ4-AZ9</f>
        <v>15212857.620000001</v>
      </c>
      <c r="BA10" s="27">
        <f t="shared" ref="BA10" si="40">BA4-BA9</f>
        <v>21536084.699999999</v>
      </c>
      <c r="BB10" s="27">
        <f t="shared" ref="BB10" si="41">BB4-BB9</f>
        <v>31864732.719999999</v>
      </c>
      <c r="BC10" s="27">
        <f t="shared" ref="BC10" si="42">BC4-BC9</f>
        <v>251113000.43000001</v>
      </c>
      <c r="BD10" s="27">
        <f t="shared" ref="BD10" si="43">BD4-BD9</f>
        <v>23527025.5</v>
      </c>
      <c r="BE10" s="27">
        <f t="shared" ref="BE10" si="44">BE4-BE9</f>
        <v>20948292.060000002</v>
      </c>
      <c r="BF10" s="27">
        <f t="shared" ref="BF10" si="45">BF4-BF9</f>
        <v>22967632.199999999</v>
      </c>
      <c r="BG10" s="27">
        <f t="shared" ref="BG10" si="46">BG4-BG9</f>
        <v>17257770.960000001</v>
      </c>
      <c r="BH10" s="27">
        <f t="shared" ref="BH10" si="47">BH4-BH9</f>
        <v>24267028.859999999</v>
      </c>
      <c r="BI10" s="27">
        <f t="shared" ref="BI10" si="48">BI4-BI9</f>
        <v>19540586.460000001</v>
      </c>
      <c r="BJ10" s="27">
        <f t="shared" ref="BJ10" si="49">BJ4-BJ9</f>
        <v>22132828.960000001</v>
      </c>
      <c r="BK10" s="27">
        <f t="shared" ref="BK10" si="50">BK4-BK9</f>
        <v>12328828.98</v>
      </c>
      <c r="BL10" s="27">
        <f t="shared" ref="BL10" si="51">BL4-BL9</f>
        <v>26802225.68</v>
      </c>
      <c r="BM10" s="27">
        <f t="shared" ref="BM10" si="52">BM4-BM9</f>
        <v>27970917.759999998</v>
      </c>
      <c r="BN10" s="27">
        <f t="shared" ref="BN10" si="53">BN4-BN9</f>
        <v>13669546.42</v>
      </c>
      <c r="BO10" s="27">
        <f t="shared" ref="BO10" si="54">BO4-BO9</f>
        <v>31870108.98</v>
      </c>
      <c r="BP10" s="27">
        <f t="shared" ref="BP10" si="55">BP4-BP9</f>
        <v>263282792.81999999</v>
      </c>
      <c r="BQ10" s="27">
        <f t="shared" ref="BQ10" si="56">BQ4-BQ9</f>
        <v>9423528.0500000007</v>
      </c>
      <c r="BR10" s="27">
        <f t="shared" ref="BR10" si="57">BR4-BR9</f>
        <v>27473012.199999999</v>
      </c>
      <c r="BS10" s="27">
        <f t="shared" ref="BS10" si="58">BS4-BS9</f>
        <v>21239716.759999998</v>
      </c>
      <c r="BT10" s="27">
        <f t="shared" ref="BT10" si="59">BT4-BT9</f>
        <v>19852172.280000001</v>
      </c>
      <c r="BU10" s="27">
        <f t="shared" ref="BU10" si="60">BU4-BU9</f>
        <v>27537980.5</v>
      </c>
      <c r="BV10" s="27">
        <f t="shared" ref="BV10" si="61">BV4-BV9</f>
        <v>20718592.140000001</v>
      </c>
      <c r="BW10" s="27">
        <f t="shared" ref="BW10" si="62">BW4-BW9</f>
        <v>15739502.6</v>
      </c>
      <c r="BX10" s="27">
        <f t="shared" ref="BX10" si="63">BX4-BX9</f>
        <v>21973725.039999999</v>
      </c>
      <c r="BY10" s="27">
        <f t="shared" ref="BY10" si="64">BY4-BY9</f>
        <v>24704238.52</v>
      </c>
      <c r="BZ10" s="27">
        <f t="shared" ref="BZ10" si="65">BZ4-BZ9</f>
        <v>30508876.98</v>
      </c>
      <c r="CA10" s="27">
        <f t="shared" ref="CA10" si="66">CA4-CA9</f>
        <v>14042108.18</v>
      </c>
      <c r="CB10" s="27">
        <f t="shared" ref="CB10" si="67">CB4-CB9</f>
        <v>25482628.52</v>
      </c>
      <c r="CC10" s="27">
        <f t="shared" ref="CC10" si="68">CC4-CC9</f>
        <v>258696081.77000001</v>
      </c>
      <c r="CD10" s="27">
        <f t="shared" ref="CD10" si="69">CD4-CD9</f>
        <v>14382637.5</v>
      </c>
      <c r="CE10" s="27">
        <f t="shared" ref="CE10" si="70">CE4-CE9</f>
        <v>13954032.76</v>
      </c>
      <c r="CF10" s="27">
        <f t="shared" ref="CF10" si="71">CF4-CF9</f>
        <v>16126254.539999999</v>
      </c>
      <c r="CG10" s="27">
        <f t="shared" ref="CG10" si="72">CG4-CG9</f>
        <v>9183629.4400000013</v>
      </c>
      <c r="CH10" s="27">
        <f t="shared" ref="CH10" si="73">CH4-CH9</f>
        <v>17833594.579999998</v>
      </c>
      <c r="CI10" s="27">
        <f t="shared" ref="CI10" si="74">CI4-CI9</f>
        <v>30513611.699999999</v>
      </c>
      <c r="CJ10" s="27">
        <f t="shared" ref="CJ10" si="75">CJ4-CJ9</f>
        <v>18256804.740000002</v>
      </c>
      <c r="CK10" s="27">
        <f t="shared" ref="CK10" si="76">CK4-CK9</f>
        <v>24853121.960000001</v>
      </c>
      <c r="CL10" s="27">
        <f t="shared" ref="CL10" si="77">CL4-CL9</f>
        <v>8205433.9800000004</v>
      </c>
      <c r="CM10" s="27">
        <f t="shared" ref="CM10" si="78">CM4-CM9</f>
        <v>23817224.18</v>
      </c>
      <c r="CN10" s="27">
        <f t="shared" ref="CN10" si="79">CN4-CN9</f>
        <v>26499790.600000001</v>
      </c>
      <c r="CO10" s="27">
        <f t="shared" ref="CO10" si="80">CO4-CO9</f>
        <v>30695625.060000002</v>
      </c>
      <c r="CP10" s="27">
        <f t="shared" ref="CP10" si="81">CP4-CP9</f>
        <v>234321761.04000002</v>
      </c>
      <c r="CQ10" s="27">
        <f t="shared" ref="CQ10" si="82">CQ4-CQ9</f>
        <v>19428391.649999999</v>
      </c>
      <c r="CR10" s="27">
        <f t="shared" ref="CR10" si="83">CR4-CR9</f>
        <v>24388974.640000001</v>
      </c>
      <c r="CS10" s="27">
        <f t="shared" ref="CS10" si="84">CS4-CS9</f>
        <v>23662088.940000001</v>
      </c>
      <c r="CT10" s="27">
        <f t="shared" ref="CT10" si="85">CT4-CT9</f>
        <v>29489212.579999998</v>
      </c>
      <c r="CU10" s="27">
        <f t="shared" ref="CU10" si="86">CU4-CU9</f>
        <v>15491753.960000001</v>
      </c>
      <c r="CV10" s="27">
        <f t="shared" ref="CV10" si="87">CV4-CV9</f>
        <v>12584276.98</v>
      </c>
      <c r="CW10" s="27">
        <f t="shared" ref="CW10" si="88">CW4-CW9</f>
        <v>9833570.7599999998</v>
      </c>
      <c r="CX10" s="27">
        <f t="shared" ref="CX10" si="89">CX4-CX9</f>
        <v>12332279.24</v>
      </c>
      <c r="CY10" s="27">
        <f t="shared" ref="CY10" si="90">CY4-CY9</f>
        <v>18191753.560000002</v>
      </c>
      <c r="CZ10" s="27">
        <f t="shared" ref="CZ10" si="91">CZ4-CZ9</f>
        <v>25871565.5</v>
      </c>
      <c r="DA10" s="27">
        <f t="shared" ref="DA10" si="92">DA4-DA9</f>
        <v>9296443.0999999996</v>
      </c>
      <c r="DB10" s="27">
        <f t="shared" ref="DB10" si="93">DB4-DB9</f>
        <v>9827629.9399999995</v>
      </c>
      <c r="DC10" s="27">
        <f t="shared" ref="DC10" si="94">DC4-DC9</f>
        <v>210397940.84999999</v>
      </c>
      <c r="DD10" s="27">
        <f t="shared" ref="DD10" si="95">DD4-DD9</f>
        <v>21728434.199999999</v>
      </c>
      <c r="DE10" s="27">
        <f t="shared" ref="DE10" si="96">DE4-DE9</f>
        <v>15264156.380000001</v>
      </c>
      <c r="DF10" s="27">
        <f t="shared" ref="DF10" si="97">DF4-DF9</f>
        <v>24937715.079999998</v>
      </c>
      <c r="DG10" s="27">
        <f t="shared" ref="DG10" si="98">DG4-DG9</f>
        <v>15875857.699999999</v>
      </c>
      <c r="DH10" s="27">
        <f t="shared" ref="DH10" si="99">DH4-DH9</f>
        <v>23873045.879999999</v>
      </c>
      <c r="DI10" s="27">
        <f t="shared" ref="DI10" si="100">DI4-DI9</f>
        <v>32219230.48</v>
      </c>
      <c r="DJ10" s="27">
        <f t="shared" ref="DJ10" si="101">DJ4-DJ9</f>
        <v>26153685.740000002</v>
      </c>
      <c r="DK10" s="27">
        <f t="shared" ref="DK10" si="102">DK4-DK9</f>
        <v>25413793.68</v>
      </c>
      <c r="DL10" s="27">
        <f t="shared" ref="DL10" si="103">DL4-DL9</f>
        <v>11988964.439999999</v>
      </c>
      <c r="DM10" s="27">
        <f t="shared" ref="DM10" si="104">DM4-DM9</f>
        <v>14030206.84</v>
      </c>
      <c r="DN10" s="27">
        <f t="shared" ref="DN10" si="105">DN4-DN9</f>
        <v>15303298.439999999</v>
      </c>
      <c r="DO10" s="27">
        <f t="shared" ref="DO10" si="106">DO4-DO9</f>
        <v>28977136.079999998</v>
      </c>
      <c r="DP10" s="27">
        <f t="shared" ref="DP10" si="107">DP4-DP9</f>
        <v>255765524.94</v>
      </c>
      <c r="DQ10" s="27">
        <f t="shared" ref="DQ10" si="108">DQ4-DQ9</f>
        <v>11680314.550000001</v>
      </c>
      <c r="DR10" s="27">
        <f t="shared" ref="DR10" si="109">DR4-DR9</f>
        <v>14461209.780000001</v>
      </c>
      <c r="DS10" s="27">
        <f t="shared" ref="DS10" si="110">DS4-DS9</f>
        <v>14036434.640000001</v>
      </c>
      <c r="DT10" s="27">
        <f t="shared" ref="DT10" si="111">DT4-DT9</f>
        <v>25220110.120000001</v>
      </c>
      <c r="DU10" s="27">
        <f t="shared" ref="DU10" si="112">DU4-DU9</f>
        <v>17626254.719999999</v>
      </c>
      <c r="DV10" s="27">
        <f t="shared" ref="DV10" si="113">DV4-DV9</f>
        <v>8474632</v>
      </c>
      <c r="DW10" s="27">
        <f t="shared" ref="DW10" si="114">DW4-DW9</f>
        <v>20934235.859999999</v>
      </c>
      <c r="DX10" s="27">
        <f t="shared" ref="DX10" si="115">DX4-DX9</f>
        <v>22796137.740000002</v>
      </c>
      <c r="DY10" s="27">
        <f t="shared" ref="DY10" si="116">DY4-DY9</f>
        <v>29767778.140000001</v>
      </c>
      <c r="DZ10" s="27">
        <f t="shared" ref="DZ10" si="117">DZ4-DZ9</f>
        <v>12589404.08</v>
      </c>
      <c r="EA10" s="27">
        <f t="shared" ref="EA10" si="118">EA4-EA9</f>
        <v>18779720.800000001</v>
      </c>
      <c r="EB10" s="27">
        <f t="shared" ref="EB10" si="119">EB4-EB9</f>
        <v>25252365</v>
      </c>
      <c r="EC10" s="27">
        <f t="shared" ref="EC10" si="120">EC4-EC9</f>
        <v>221618597.43000001</v>
      </c>
      <c r="ED10" s="27">
        <f t="shared" ref="ED10" si="121">ED4-ED9</f>
        <v>19767110.350000001</v>
      </c>
      <c r="EE10" s="27">
        <f t="shared" ref="EE10" si="122">EE4-EE9</f>
        <v>12093897.48</v>
      </c>
      <c r="EF10" s="27">
        <f t="shared" ref="EF10" si="123">EF4-EF9</f>
        <v>27717923.379999999</v>
      </c>
      <c r="EG10" s="27">
        <f t="shared" ref="EG10" si="124">EG4-EG9</f>
        <v>20385761.82</v>
      </c>
      <c r="EH10" s="27">
        <f t="shared" ref="EH10" si="125">EH4-EH9</f>
        <v>16319106.16</v>
      </c>
      <c r="EI10" s="27">
        <f t="shared" ref="EI10" si="126">EI4-EI9</f>
        <v>31826415.379999999</v>
      </c>
      <c r="EJ10" s="27">
        <f t="shared" ref="EJ10" si="127">EJ4-EJ9</f>
        <v>32322555.300000001</v>
      </c>
      <c r="EK10" s="27">
        <f t="shared" ref="EK10" si="128">EK4-EK9</f>
        <v>10750327.699999999</v>
      </c>
      <c r="EL10" s="27">
        <f t="shared" ref="EL10" si="129">EL4-EL9</f>
        <v>14507486.359999999</v>
      </c>
      <c r="EM10" s="27">
        <f t="shared" ref="EM10" si="130">EM4-EM9</f>
        <v>27152568.98</v>
      </c>
      <c r="EN10" s="27">
        <f t="shared" ref="EN10" si="131">EN4-EN9</f>
        <v>23902872.640000001</v>
      </c>
      <c r="EO10" s="27">
        <f t="shared" ref="EO10" si="132">EO4-EO9</f>
        <v>17275966.920000002</v>
      </c>
      <c r="EP10" s="27">
        <f t="shared" ref="EP10" si="133">EP4-EP9</f>
        <v>254021992.47</v>
      </c>
      <c r="EQ10" s="39"/>
    </row>
    <row r="11" spans="1:147" hidden="1" outlineLevel="1" x14ac:dyDescent="0.3">
      <c r="B11" t="s">
        <v>509</v>
      </c>
      <c r="C11" s="2" t="s">
        <v>503</v>
      </c>
      <c r="D11" s="2">
        <v>787917</v>
      </c>
      <c r="E11" s="2">
        <v>611493</v>
      </c>
      <c r="F11" s="2">
        <v>604484</v>
      </c>
      <c r="G11" s="2">
        <v>686538</v>
      </c>
      <c r="H11" s="2">
        <v>741307</v>
      </c>
      <c r="I11" s="2">
        <v>756992</v>
      </c>
      <c r="J11" s="2">
        <v>777832</v>
      </c>
      <c r="K11" s="2">
        <v>788898</v>
      </c>
      <c r="L11" s="2">
        <v>641668</v>
      </c>
      <c r="M11" s="2">
        <v>727895</v>
      </c>
      <c r="N11" s="2">
        <v>605285</v>
      </c>
      <c r="O11" s="2">
        <v>718452</v>
      </c>
      <c r="P11" s="8">
        <v>8448761</v>
      </c>
      <c r="Q11" s="2">
        <v>633707</v>
      </c>
      <c r="R11" s="2">
        <v>753349</v>
      </c>
      <c r="S11" s="2">
        <v>753502</v>
      </c>
      <c r="T11" s="2">
        <v>773189</v>
      </c>
      <c r="U11" s="2">
        <v>633404</v>
      </c>
      <c r="V11" s="2">
        <v>729996</v>
      </c>
      <c r="W11" s="2">
        <v>742710</v>
      </c>
      <c r="X11" s="2">
        <v>602031</v>
      </c>
      <c r="Y11" s="2">
        <v>735480</v>
      </c>
      <c r="Z11" s="2">
        <v>796445</v>
      </c>
      <c r="AA11" s="2">
        <v>624201</v>
      </c>
      <c r="AB11" s="2">
        <v>759746</v>
      </c>
      <c r="AC11" s="8">
        <v>8537760</v>
      </c>
      <c r="AD11" s="2">
        <v>627623</v>
      </c>
      <c r="AE11" s="2">
        <v>677423</v>
      </c>
      <c r="AF11" s="2">
        <v>663756</v>
      </c>
      <c r="AG11" s="2">
        <v>656885</v>
      </c>
      <c r="AH11" s="2">
        <v>654220</v>
      </c>
      <c r="AI11" s="2">
        <v>779163</v>
      </c>
      <c r="AJ11" s="31">
        <v>720907</v>
      </c>
      <c r="AK11" s="31">
        <v>671518</v>
      </c>
      <c r="AL11" s="31">
        <v>614795</v>
      </c>
      <c r="AM11" s="31">
        <v>688282</v>
      </c>
      <c r="AN11" s="31">
        <v>697493</v>
      </c>
      <c r="AO11" s="31">
        <v>724488</v>
      </c>
      <c r="AP11" s="32">
        <v>8176553</v>
      </c>
      <c r="AQ11" s="31">
        <v>676531</v>
      </c>
      <c r="AR11" s="31">
        <v>712339</v>
      </c>
      <c r="AS11" s="31">
        <v>724513</v>
      </c>
      <c r="AT11" s="31">
        <v>774993</v>
      </c>
      <c r="AU11" s="31">
        <v>718668</v>
      </c>
      <c r="AV11" s="31">
        <v>704624</v>
      </c>
      <c r="AW11" s="31">
        <v>643373</v>
      </c>
      <c r="AX11" s="31">
        <v>707022</v>
      </c>
      <c r="AY11" s="31">
        <v>639105</v>
      </c>
      <c r="AZ11" s="31">
        <v>676820</v>
      </c>
      <c r="BA11" s="31">
        <v>607153</v>
      </c>
      <c r="BB11" s="31">
        <v>769579</v>
      </c>
      <c r="BC11" s="32">
        <v>8354720</v>
      </c>
      <c r="BD11" s="31">
        <v>665029</v>
      </c>
      <c r="BE11" s="31">
        <v>786495</v>
      </c>
      <c r="BF11" s="31">
        <v>679278</v>
      </c>
      <c r="BG11" s="31">
        <v>637878</v>
      </c>
      <c r="BH11" s="31">
        <v>634262</v>
      </c>
      <c r="BI11" s="31">
        <v>795004</v>
      </c>
      <c r="BJ11" s="31">
        <v>662246</v>
      </c>
      <c r="BK11" s="31">
        <v>652980</v>
      </c>
      <c r="BL11" s="31">
        <v>790216</v>
      </c>
      <c r="BM11" s="31">
        <v>683280</v>
      </c>
      <c r="BN11" s="31">
        <v>633679</v>
      </c>
      <c r="BO11" s="31">
        <v>729579</v>
      </c>
      <c r="BP11" s="32">
        <v>8349926</v>
      </c>
      <c r="BQ11" s="31">
        <v>720662</v>
      </c>
      <c r="BR11" s="31">
        <v>618868</v>
      </c>
      <c r="BS11" s="31">
        <v>702981</v>
      </c>
      <c r="BT11" s="31">
        <v>723505</v>
      </c>
      <c r="BU11" s="31">
        <v>651462</v>
      </c>
      <c r="BV11" s="31">
        <v>798344</v>
      </c>
      <c r="BW11" s="31">
        <v>660820</v>
      </c>
      <c r="BX11" s="31">
        <v>682559</v>
      </c>
      <c r="BY11" s="31">
        <v>630294</v>
      </c>
      <c r="BZ11" s="31">
        <v>675275</v>
      </c>
      <c r="CA11" s="31">
        <v>622726</v>
      </c>
      <c r="CB11" s="31">
        <v>734200</v>
      </c>
      <c r="CC11" s="32">
        <v>8221696</v>
      </c>
      <c r="CD11" s="31">
        <v>619320</v>
      </c>
      <c r="CE11" s="31">
        <v>775367</v>
      </c>
      <c r="CF11" s="31">
        <v>709808</v>
      </c>
      <c r="CG11" s="31">
        <v>759565</v>
      </c>
      <c r="CH11" s="31">
        <v>612542</v>
      </c>
      <c r="CI11" s="31">
        <v>609191</v>
      </c>
      <c r="CJ11" s="31">
        <v>786321</v>
      </c>
      <c r="CK11" s="31">
        <v>798088</v>
      </c>
      <c r="CL11" s="31">
        <v>608625</v>
      </c>
      <c r="CM11" s="31">
        <v>607968</v>
      </c>
      <c r="CN11" s="31">
        <v>625284</v>
      </c>
      <c r="CO11" s="31">
        <v>684521</v>
      </c>
      <c r="CP11" s="32">
        <v>8196600</v>
      </c>
      <c r="CQ11" s="31">
        <v>785487</v>
      </c>
      <c r="CR11" s="31">
        <v>783082</v>
      </c>
      <c r="CS11" s="31">
        <v>709239</v>
      </c>
      <c r="CT11" s="31">
        <v>655606</v>
      </c>
      <c r="CU11" s="31">
        <v>641560</v>
      </c>
      <c r="CV11" s="31">
        <v>771509</v>
      </c>
      <c r="CW11" s="31">
        <v>735280</v>
      </c>
      <c r="CX11" s="31">
        <v>670135</v>
      </c>
      <c r="CY11" s="31">
        <v>630377</v>
      </c>
      <c r="CZ11" s="31">
        <v>664978</v>
      </c>
      <c r="DA11" s="31">
        <v>605130</v>
      </c>
      <c r="DB11" s="31">
        <v>639349</v>
      </c>
      <c r="DC11" s="32">
        <v>8291732</v>
      </c>
      <c r="DD11" s="31">
        <v>767695</v>
      </c>
      <c r="DE11" s="31">
        <v>722746</v>
      </c>
      <c r="DF11" s="31">
        <v>760424</v>
      </c>
      <c r="DG11" s="31">
        <v>725892</v>
      </c>
      <c r="DH11" s="31">
        <v>684166</v>
      </c>
      <c r="DI11" s="31">
        <v>659931</v>
      </c>
      <c r="DJ11" s="31">
        <v>624414</v>
      </c>
      <c r="DK11" s="31">
        <v>622344</v>
      </c>
      <c r="DL11" s="31">
        <v>685789</v>
      </c>
      <c r="DM11" s="31">
        <v>770030</v>
      </c>
      <c r="DN11" s="31">
        <v>713172</v>
      </c>
      <c r="DO11" s="31">
        <v>692218</v>
      </c>
      <c r="DP11" s="32">
        <v>8428821</v>
      </c>
      <c r="DQ11" s="31">
        <v>608395</v>
      </c>
      <c r="DR11" s="31">
        <v>623483</v>
      </c>
      <c r="DS11" s="31">
        <v>785554</v>
      </c>
      <c r="DT11" s="31">
        <v>619524</v>
      </c>
      <c r="DU11" s="31">
        <v>760828</v>
      </c>
      <c r="DV11" s="31">
        <v>789057</v>
      </c>
      <c r="DW11" s="31">
        <v>669979</v>
      </c>
      <c r="DX11" s="31">
        <v>676136</v>
      </c>
      <c r="DY11" s="31">
        <v>718894</v>
      </c>
      <c r="DZ11" s="31">
        <v>680864</v>
      </c>
      <c r="EA11" s="31">
        <v>764651</v>
      </c>
      <c r="EB11" s="31">
        <v>689217</v>
      </c>
      <c r="EC11" s="32">
        <v>8386582</v>
      </c>
      <c r="ED11" s="31">
        <v>730950</v>
      </c>
      <c r="EE11" s="31">
        <v>743251</v>
      </c>
      <c r="EF11" s="31">
        <v>627668</v>
      </c>
      <c r="EG11" s="31">
        <v>741385</v>
      </c>
      <c r="EH11" s="31">
        <v>680094</v>
      </c>
      <c r="EI11" s="31">
        <v>774864</v>
      </c>
      <c r="EJ11" s="31">
        <v>749711</v>
      </c>
      <c r="EK11" s="31">
        <v>723160</v>
      </c>
      <c r="EL11" s="31">
        <v>625285</v>
      </c>
      <c r="EM11" s="31">
        <v>622751</v>
      </c>
      <c r="EN11" s="31">
        <v>726343</v>
      </c>
      <c r="EO11" s="31">
        <v>668115</v>
      </c>
      <c r="EP11" s="32">
        <v>8413577</v>
      </c>
    </row>
    <row r="12" spans="1:147" hidden="1" outlineLevel="1" x14ac:dyDescent="0.3">
      <c r="B12" t="s">
        <v>509</v>
      </c>
      <c r="C12" s="2" t="s">
        <v>504</v>
      </c>
      <c r="D12" s="2">
        <v>1652936</v>
      </c>
      <c r="E12" s="2">
        <v>1462119</v>
      </c>
      <c r="F12" s="2">
        <v>1664730</v>
      </c>
      <c r="G12" s="2">
        <v>1679573</v>
      </c>
      <c r="H12" s="2">
        <v>1684600</v>
      </c>
      <c r="I12" s="2">
        <v>1599919</v>
      </c>
      <c r="J12" s="2">
        <v>1420932</v>
      </c>
      <c r="K12" s="2">
        <v>1684149</v>
      </c>
      <c r="L12" s="2">
        <v>1567694</v>
      </c>
      <c r="M12" s="2">
        <v>1637900</v>
      </c>
      <c r="N12" s="2">
        <v>1540762</v>
      </c>
      <c r="O12" s="2">
        <v>1504054</v>
      </c>
      <c r="P12" s="8">
        <v>19099368</v>
      </c>
      <c r="Q12" s="2">
        <v>1629500</v>
      </c>
      <c r="R12" s="2">
        <v>1663285</v>
      </c>
      <c r="S12" s="2">
        <v>1566025</v>
      </c>
      <c r="T12" s="2">
        <v>1536535</v>
      </c>
      <c r="U12" s="2">
        <v>1582314</v>
      </c>
      <c r="V12" s="2">
        <v>1665519</v>
      </c>
      <c r="W12" s="2">
        <v>1599544</v>
      </c>
      <c r="X12" s="2">
        <v>1455748</v>
      </c>
      <c r="Y12" s="2">
        <v>1549247</v>
      </c>
      <c r="Z12" s="2">
        <v>1427309</v>
      </c>
      <c r="AA12" s="2">
        <v>1474415</v>
      </c>
      <c r="AB12" s="2">
        <v>1589542</v>
      </c>
      <c r="AC12" s="8">
        <v>18738983</v>
      </c>
      <c r="AD12" s="2">
        <v>1689130</v>
      </c>
      <c r="AE12" s="2">
        <v>1467752</v>
      </c>
      <c r="AF12" s="2">
        <v>1623370</v>
      </c>
      <c r="AG12" s="2">
        <v>1686379</v>
      </c>
      <c r="AH12" s="2">
        <v>1589052</v>
      </c>
      <c r="AI12" s="2">
        <v>1439502</v>
      </c>
      <c r="AJ12" s="31">
        <v>1413614</v>
      </c>
      <c r="AK12" s="31">
        <v>1417747</v>
      </c>
      <c r="AL12" s="31">
        <v>1572849</v>
      </c>
      <c r="AM12" s="31">
        <v>1613177</v>
      </c>
      <c r="AN12" s="31">
        <v>1678850</v>
      </c>
      <c r="AO12" s="31">
        <v>1451111</v>
      </c>
      <c r="AP12" s="32">
        <v>18642533</v>
      </c>
      <c r="AQ12" s="31">
        <v>1683995</v>
      </c>
      <c r="AR12" s="31">
        <v>1432580</v>
      </c>
      <c r="AS12" s="31">
        <v>1441525</v>
      </c>
      <c r="AT12" s="31">
        <v>1437061</v>
      </c>
      <c r="AU12" s="31">
        <v>1576230</v>
      </c>
      <c r="AV12" s="31">
        <v>1511932</v>
      </c>
      <c r="AW12" s="31">
        <v>1542724</v>
      </c>
      <c r="AX12" s="31">
        <v>1687422</v>
      </c>
      <c r="AY12" s="31">
        <v>1418692</v>
      </c>
      <c r="AZ12" s="31">
        <v>1625506</v>
      </c>
      <c r="BA12" s="31">
        <v>1579457</v>
      </c>
      <c r="BB12" s="31">
        <v>1476300</v>
      </c>
      <c r="BC12" s="32">
        <v>18413424</v>
      </c>
      <c r="BD12" s="31">
        <v>1633781</v>
      </c>
      <c r="BE12" s="31">
        <v>1486863</v>
      </c>
      <c r="BF12" s="31">
        <v>1673804</v>
      </c>
      <c r="BG12" s="31">
        <v>1466652</v>
      </c>
      <c r="BH12" s="31">
        <v>1415726</v>
      </c>
      <c r="BI12" s="31">
        <v>1433816</v>
      </c>
      <c r="BJ12" s="31">
        <v>1675371</v>
      </c>
      <c r="BK12" s="31">
        <v>1447434</v>
      </c>
      <c r="BL12" s="31">
        <v>1515531</v>
      </c>
      <c r="BM12" s="31">
        <v>1552771</v>
      </c>
      <c r="BN12" s="31">
        <v>1681066</v>
      </c>
      <c r="BO12" s="31">
        <v>1415131</v>
      </c>
      <c r="BP12" s="32">
        <v>18397946</v>
      </c>
      <c r="BQ12" s="31">
        <v>1435896</v>
      </c>
      <c r="BR12" s="31">
        <v>1681045</v>
      </c>
      <c r="BS12" s="31">
        <v>1570876</v>
      </c>
      <c r="BT12" s="31">
        <v>1531074</v>
      </c>
      <c r="BU12" s="31">
        <v>1490700</v>
      </c>
      <c r="BV12" s="31">
        <v>1426961</v>
      </c>
      <c r="BW12" s="31">
        <v>1542550</v>
      </c>
      <c r="BX12" s="31">
        <v>1638500</v>
      </c>
      <c r="BY12" s="31">
        <v>1628750</v>
      </c>
      <c r="BZ12" s="31">
        <v>1693982</v>
      </c>
      <c r="CA12" s="31">
        <v>1525058</v>
      </c>
      <c r="CB12" s="31">
        <v>1652682</v>
      </c>
      <c r="CC12" s="32">
        <v>18818074</v>
      </c>
      <c r="CD12" s="31">
        <v>1695819</v>
      </c>
      <c r="CE12" s="31">
        <v>1447437</v>
      </c>
      <c r="CF12" s="31">
        <v>1585046</v>
      </c>
      <c r="CG12" s="31">
        <v>1520712</v>
      </c>
      <c r="CH12" s="31">
        <v>1582202</v>
      </c>
      <c r="CI12" s="31">
        <v>1566593</v>
      </c>
      <c r="CJ12" s="31">
        <v>1491409</v>
      </c>
      <c r="CK12" s="31">
        <v>1696568</v>
      </c>
      <c r="CL12" s="31">
        <v>1663832</v>
      </c>
      <c r="CM12" s="31">
        <v>1469427</v>
      </c>
      <c r="CN12" s="31">
        <v>1439169</v>
      </c>
      <c r="CO12" s="31">
        <v>1567105</v>
      </c>
      <c r="CP12" s="32">
        <v>18725319</v>
      </c>
      <c r="CQ12" s="31">
        <v>1526527</v>
      </c>
      <c r="CR12" s="31">
        <v>1591257</v>
      </c>
      <c r="CS12" s="31">
        <v>1556834</v>
      </c>
      <c r="CT12" s="31">
        <v>1436251</v>
      </c>
      <c r="CU12" s="31">
        <v>1644666</v>
      </c>
      <c r="CV12" s="31">
        <v>1463617</v>
      </c>
      <c r="CW12" s="31">
        <v>1428643</v>
      </c>
      <c r="CX12" s="31">
        <v>1423740</v>
      </c>
      <c r="CY12" s="31">
        <v>1462368</v>
      </c>
      <c r="CZ12" s="31">
        <v>1621521</v>
      </c>
      <c r="DA12" s="31">
        <v>1493261</v>
      </c>
      <c r="DB12" s="31">
        <v>1458281</v>
      </c>
      <c r="DC12" s="32">
        <v>18106966</v>
      </c>
      <c r="DD12" s="31">
        <v>1669935</v>
      </c>
      <c r="DE12" s="31">
        <v>1403773</v>
      </c>
      <c r="DF12" s="31">
        <v>1588813</v>
      </c>
      <c r="DG12" s="31">
        <v>1491166</v>
      </c>
      <c r="DH12" s="31">
        <v>1442709</v>
      </c>
      <c r="DI12" s="31">
        <v>1688837</v>
      </c>
      <c r="DJ12" s="31">
        <v>1536842</v>
      </c>
      <c r="DK12" s="31">
        <v>1649781</v>
      </c>
      <c r="DL12" s="31">
        <v>1558784</v>
      </c>
      <c r="DM12" s="31">
        <v>1476822</v>
      </c>
      <c r="DN12" s="31">
        <v>1649988</v>
      </c>
      <c r="DO12" s="31">
        <v>1424901</v>
      </c>
      <c r="DP12" s="32">
        <v>18582351</v>
      </c>
      <c r="DQ12" s="31">
        <v>1495444</v>
      </c>
      <c r="DR12" s="31">
        <v>1574755</v>
      </c>
      <c r="DS12" s="31">
        <v>1672538</v>
      </c>
      <c r="DT12" s="31">
        <v>1513555</v>
      </c>
      <c r="DU12" s="31">
        <v>1509913</v>
      </c>
      <c r="DV12" s="31">
        <v>1592490</v>
      </c>
      <c r="DW12" s="31">
        <v>1548220</v>
      </c>
      <c r="DX12" s="31">
        <v>1621826</v>
      </c>
      <c r="DY12" s="31">
        <v>1688951</v>
      </c>
      <c r="DZ12" s="31">
        <v>1415655</v>
      </c>
      <c r="EA12" s="31">
        <v>1479304</v>
      </c>
      <c r="EB12" s="31">
        <v>1615345</v>
      </c>
      <c r="EC12" s="32">
        <v>18727996</v>
      </c>
      <c r="ED12" s="31">
        <v>1439722</v>
      </c>
      <c r="EE12" s="31">
        <v>1629515</v>
      </c>
      <c r="EF12" s="31">
        <v>1659063</v>
      </c>
      <c r="EG12" s="31">
        <v>1460319</v>
      </c>
      <c r="EH12" s="31">
        <v>1636098</v>
      </c>
      <c r="EI12" s="31">
        <v>1562265</v>
      </c>
      <c r="EJ12" s="31">
        <v>1466424</v>
      </c>
      <c r="EK12" s="31">
        <v>1663627</v>
      </c>
      <c r="EL12" s="31">
        <v>1484107</v>
      </c>
      <c r="EM12" s="31">
        <v>1666282</v>
      </c>
      <c r="EN12" s="31">
        <v>1487069</v>
      </c>
      <c r="EO12" s="31">
        <v>1507814</v>
      </c>
      <c r="EP12" s="32">
        <v>18662305</v>
      </c>
    </row>
    <row r="13" spans="1:147" hidden="1" outlineLevel="1" x14ac:dyDescent="0.3">
      <c r="B13" t="s">
        <v>509</v>
      </c>
      <c r="C13" s="2" t="s">
        <v>505</v>
      </c>
      <c r="D13" s="2">
        <v>16013</v>
      </c>
      <c r="E13" s="2">
        <v>16985</v>
      </c>
      <c r="F13" s="2">
        <v>19133</v>
      </c>
      <c r="G13" s="2">
        <v>19373</v>
      </c>
      <c r="H13" s="2">
        <v>11702</v>
      </c>
      <c r="I13" s="2">
        <v>17608</v>
      </c>
      <c r="J13" s="2">
        <v>17194</v>
      </c>
      <c r="K13" s="2">
        <v>15339</v>
      </c>
      <c r="L13" s="2">
        <v>17121</v>
      </c>
      <c r="M13" s="2">
        <v>14302</v>
      </c>
      <c r="N13" s="2">
        <v>18933</v>
      </c>
      <c r="O13" s="2">
        <v>12187</v>
      </c>
      <c r="P13" s="8">
        <v>195890</v>
      </c>
      <c r="Q13" s="2">
        <v>18250</v>
      </c>
      <c r="R13" s="2">
        <v>11550</v>
      </c>
      <c r="S13" s="2">
        <v>10416</v>
      </c>
      <c r="T13" s="2">
        <v>13804</v>
      </c>
      <c r="U13" s="2">
        <v>13682</v>
      </c>
      <c r="V13" s="2">
        <v>19179</v>
      </c>
      <c r="W13" s="2">
        <v>19895</v>
      </c>
      <c r="X13" s="2">
        <v>18239</v>
      </c>
      <c r="Y13" s="2">
        <v>14325</v>
      </c>
      <c r="Z13" s="2">
        <v>10140</v>
      </c>
      <c r="AA13" s="2">
        <v>19679</v>
      </c>
      <c r="AB13" s="2">
        <v>16285</v>
      </c>
      <c r="AC13" s="8">
        <v>185444</v>
      </c>
      <c r="AD13" s="2">
        <v>11640</v>
      </c>
      <c r="AE13" s="2">
        <v>17857</v>
      </c>
      <c r="AF13" s="2">
        <v>11889</v>
      </c>
      <c r="AG13" s="2">
        <v>10637</v>
      </c>
      <c r="AH13" s="2">
        <v>14518</v>
      </c>
      <c r="AI13" s="2">
        <v>14222</v>
      </c>
      <c r="AJ13" s="31">
        <v>12951</v>
      </c>
      <c r="AK13" s="31">
        <v>13596</v>
      </c>
      <c r="AL13" s="31">
        <v>18869</v>
      </c>
      <c r="AM13" s="31">
        <v>17805</v>
      </c>
      <c r="AN13" s="31">
        <v>19213</v>
      </c>
      <c r="AO13" s="31">
        <v>10393</v>
      </c>
      <c r="AP13" s="32">
        <v>173590</v>
      </c>
      <c r="AQ13" s="31">
        <v>15211</v>
      </c>
      <c r="AR13" s="31">
        <v>19275</v>
      </c>
      <c r="AS13" s="31">
        <v>18985</v>
      </c>
      <c r="AT13" s="31">
        <v>13711</v>
      </c>
      <c r="AU13" s="31">
        <v>14457</v>
      </c>
      <c r="AV13" s="31">
        <v>15354</v>
      </c>
      <c r="AW13" s="31">
        <v>17703</v>
      </c>
      <c r="AX13" s="31">
        <v>14434</v>
      </c>
      <c r="AY13" s="31">
        <v>14576</v>
      </c>
      <c r="AZ13" s="31">
        <v>18267</v>
      </c>
      <c r="BA13" s="31">
        <v>18616</v>
      </c>
      <c r="BB13" s="31">
        <v>13629</v>
      </c>
      <c r="BC13" s="32">
        <v>194218</v>
      </c>
      <c r="BD13" s="31">
        <v>14989</v>
      </c>
      <c r="BE13" s="31">
        <v>13555</v>
      </c>
      <c r="BF13" s="31">
        <v>19518</v>
      </c>
      <c r="BG13" s="31">
        <v>15646</v>
      </c>
      <c r="BH13" s="31">
        <v>14717</v>
      </c>
      <c r="BI13" s="31">
        <v>10087</v>
      </c>
      <c r="BJ13" s="31">
        <v>12273</v>
      </c>
      <c r="BK13" s="31">
        <v>18236</v>
      </c>
      <c r="BL13" s="31">
        <v>11010</v>
      </c>
      <c r="BM13" s="31">
        <v>11106</v>
      </c>
      <c r="BN13" s="31">
        <v>18699</v>
      </c>
      <c r="BO13" s="31">
        <v>15623</v>
      </c>
      <c r="BP13" s="32">
        <v>175459</v>
      </c>
      <c r="BQ13" s="31">
        <v>14825</v>
      </c>
      <c r="BR13" s="31">
        <v>16111</v>
      </c>
      <c r="BS13" s="31">
        <v>17025</v>
      </c>
      <c r="BT13" s="31">
        <v>19415</v>
      </c>
      <c r="BU13" s="31">
        <v>14042</v>
      </c>
      <c r="BV13" s="31">
        <v>14206</v>
      </c>
      <c r="BW13" s="31">
        <v>14069</v>
      </c>
      <c r="BX13" s="31">
        <v>19674</v>
      </c>
      <c r="BY13" s="31">
        <v>14491</v>
      </c>
      <c r="BZ13" s="31">
        <v>11363</v>
      </c>
      <c r="CA13" s="31">
        <v>12006</v>
      </c>
      <c r="CB13" s="31">
        <v>19071</v>
      </c>
      <c r="CC13" s="32">
        <v>186298</v>
      </c>
      <c r="CD13" s="31">
        <v>14335</v>
      </c>
      <c r="CE13" s="31">
        <v>15581</v>
      </c>
      <c r="CF13" s="31">
        <v>13624</v>
      </c>
      <c r="CG13" s="31">
        <v>13158</v>
      </c>
      <c r="CH13" s="31">
        <v>19641</v>
      </c>
      <c r="CI13" s="31">
        <v>11412</v>
      </c>
      <c r="CJ13" s="31">
        <v>13320</v>
      </c>
      <c r="CK13" s="31">
        <v>12027</v>
      </c>
      <c r="CL13" s="31">
        <v>11685</v>
      </c>
      <c r="CM13" s="31">
        <v>10786</v>
      </c>
      <c r="CN13" s="31">
        <v>14840</v>
      </c>
      <c r="CO13" s="31">
        <v>16122</v>
      </c>
      <c r="CP13" s="32">
        <v>166531</v>
      </c>
      <c r="CQ13" s="31">
        <v>19621</v>
      </c>
      <c r="CR13" s="31">
        <v>17039</v>
      </c>
      <c r="CS13" s="31">
        <v>13008</v>
      </c>
      <c r="CT13" s="31">
        <v>19262</v>
      </c>
      <c r="CU13" s="31">
        <v>19466</v>
      </c>
      <c r="CV13" s="31">
        <v>16597</v>
      </c>
      <c r="CW13" s="31">
        <v>10359</v>
      </c>
      <c r="CX13" s="31">
        <v>18055</v>
      </c>
      <c r="CY13" s="31">
        <v>14049</v>
      </c>
      <c r="CZ13" s="31">
        <v>12172</v>
      </c>
      <c r="DA13" s="31">
        <v>15904</v>
      </c>
      <c r="DB13" s="31">
        <v>11391</v>
      </c>
      <c r="DC13" s="32">
        <v>186923</v>
      </c>
      <c r="DD13" s="31">
        <v>16215</v>
      </c>
      <c r="DE13" s="31">
        <v>18378</v>
      </c>
      <c r="DF13" s="31">
        <v>18679</v>
      </c>
      <c r="DG13" s="31">
        <v>10840</v>
      </c>
      <c r="DH13" s="31">
        <v>19793</v>
      </c>
      <c r="DI13" s="31">
        <v>17839</v>
      </c>
      <c r="DJ13" s="31">
        <v>17787</v>
      </c>
      <c r="DK13" s="31">
        <v>10950</v>
      </c>
      <c r="DL13" s="31">
        <v>18231</v>
      </c>
      <c r="DM13" s="31">
        <v>10625</v>
      </c>
      <c r="DN13" s="31">
        <v>19861</v>
      </c>
      <c r="DO13" s="31">
        <v>15955</v>
      </c>
      <c r="DP13" s="32">
        <v>195153</v>
      </c>
      <c r="DQ13" s="31">
        <v>19951</v>
      </c>
      <c r="DR13" s="31">
        <v>18958</v>
      </c>
      <c r="DS13" s="31">
        <v>18871</v>
      </c>
      <c r="DT13" s="31">
        <v>11109</v>
      </c>
      <c r="DU13" s="31">
        <v>18661</v>
      </c>
      <c r="DV13" s="31">
        <v>16143</v>
      </c>
      <c r="DW13" s="31">
        <v>18418</v>
      </c>
      <c r="DX13" s="31">
        <v>17397</v>
      </c>
      <c r="DY13" s="31">
        <v>11096</v>
      </c>
      <c r="DZ13" s="31">
        <v>18798</v>
      </c>
      <c r="EA13" s="31">
        <v>17401</v>
      </c>
      <c r="EB13" s="31">
        <v>11658</v>
      </c>
      <c r="EC13" s="32">
        <v>198461</v>
      </c>
      <c r="ED13" s="31">
        <v>17039</v>
      </c>
      <c r="EE13" s="31">
        <v>15945</v>
      </c>
      <c r="EF13" s="31">
        <v>12529</v>
      </c>
      <c r="EG13" s="31">
        <v>19408</v>
      </c>
      <c r="EH13" s="31">
        <v>13287</v>
      </c>
      <c r="EI13" s="31">
        <v>10893</v>
      </c>
      <c r="EJ13" s="31">
        <v>12863</v>
      </c>
      <c r="EK13" s="31">
        <v>15113</v>
      </c>
      <c r="EL13" s="31">
        <v>11676</v>
      </c>
      <c r="EM13" s="31">
        <v>11025</v>
      </c>
      <c r="EN13" s="31">
        <v>13509</v>
      </c>
      <c r="EO13" s="31">
        <v>16789</v>
      </c>
      <c r="EP13" s="32">
        <v>170076</v>
      </c>
    </row>
    <row r="14" spans="1:147" hidden="1" outlineLevel="1" x14ac:dyDescent="0.3">
      <c r="B14" t="s">
        <v>509</v>
      </c>
      <c r="C14" s="2" t="s">
        <v>506</v>
      </c>
      <c r="D14" s="2">
        <v>813112</v>
      </c>
      <c r="E14" s="2">
        <v>890438</v>
      </c>
      <c r="F14" s="2">
        <v>790143</v>
      </c>
      <c r="G14" s="2">
        <v>703567</v>
      </c>
      <c r="H14" s="2">
        <v>628844</v>
      </c>
      <c r="I14" s="2">
        <v>676041</v>
      </c>
      <c r="J14" s="2">
        <v>696625</v>
      </c>
      <c r="K14" s="2">
        <v>830876</v>
      </c>
      <c r="L14" s="2">
        <v>872160</v>
      </c>
      <c r="M14" s="2">
        <v>620983</v>
      </c>
      <c r="N14" s="2">
        <v>752902</v>
      </c>
      <c r="O14" s="2">
        <v>863496</v>
      </c>
      <c r="P14" s="8">
        <v>9139187</v>
      </c>
      <c r="Q14" s="2">
        <v>793182</v>
      </c>
      <c r="R14" s="2">
        <v>657655</v>
      </c>
      <c r="S14" s="2">
        <v>817488</v>
      </c>
      <c r="T14" s="2">
        <v>773503</v>
      </c>
      <c r="U14" s="2">
        <v>763267</v>
      </c>
      <c r="V14" s="2">
        <v>842744</v>
      </c>
      <c r="W14" s="2">
        <v>521155</v>
      </c>
      <c r="X14" s="2">
        <v>691105</v>
      </c>
      <c r="Y14" s="2">
        <v>694621</v>
      </c>
      <c r="Z14" s="2">
        <v>873450</v>
      </c>
      <c r="AA14" s="2">
        <v>675094</v>
      </c>
      <c r="AB14" s="2">
        <v>754175</v>
      </c>
      <c r="AC14" s="8">
        <v>8857439</v>
      </c>
      <c r="AD14" s="2">
        <v>748591</v>
      </c>
      <c r="AE14" s="2">
        <v>599687</v>
      </c>
      <c r="AF14" s="2">
        <v>760027</v>
      </c>
      <c r="AG14" s="2">
        <v>594368</v>
      </c>
      <c r="AH14" s="2">
        <v>811377</v>
      </c>
      <c r="AI14" s="2">
        <v>898193</v>
      </c>
      <c r="AJ14" s="31">
        <v>662665</v>
      </c>
      <c r="AK14" s="31">
        <v>719670</v>
      </c>
      <c r="AL14" s="31">
        <v>505866</v>
      </c>
      <c r="AM14" s="31">
        <v>597128</v>
      </c>
      <c r="AN14" s="31">
        <v>896421</v>
      </c>
      <c r="AO14" s="31">
        <v>585266</v>
      </c>
      <c r="AP14" s="32">
        <v>8379259</v>
      </c>
      <c r="AQ14" s="31">
        <v>660945</v>
      </c>
      <c r="AR14" s="31">
        <v>873440</v>
      </c>
      <c r="AS14" s="31">
        <v>792344</v>
      </c>
      <c r="AT14" s="31">
        <v>803426</v>
      </c>
      <c r="AU14" s="31">
        <v>856329</v>
      </c>
      <c r="AV14" s="31">
        <v>587410</v>
      </c>
      <c r="AW14" s="31">
        <v>516305</v>
      </c>
      <c r="AX14" s="31">
        <v>643554</v>
      </c>
      <c r="AY14" s="31">
        <v>854647</v>
      </c>
      <c r="AZ14" s="31">
        <v>833478</v>
      </c>
      <c r="BA14" s="31">
        <v>832263</v>
      </c>
      <c r="BB14" s="31">
        <v>517019</v>
      </c>
      <c r="BC14" s="32">
        <v>8771160</v>
      </c>
      <c r="BD14" s="31">
        <v>555172</v>
      </c>
      <c r="BE14" s="31">
        <v>825869</v>
      </c>
      <c r="BF14" s="31">
        <v>776114</v>
      </c>
      <c r="BG14" s="31">
        <v>854834</v>
      </c>
      <c r="BH14" s="31">
        <v>678629</v>
      </c>
      <c r="BI14" s="31">
        <v>695400</v>
      </c>
      <c r="BJ14" s="31">
        <v>653325</v>
      </c>
      <c r="BK14" s="31">
        <v>555404</v>
      </c>
      <c r="BL14" s="31">
        <v>544391</v>
      </c>
      <c r="BM14" s="31">
        <v>737598</v>
      </c>
      <c r="BN14" s="31">
        <v>628438</v>
      </c>
      <c r="BO14" s="31">
        <v>812421</v>
      </c>
      <c r="BP14" s="32">
        <v>8317595</v>
      </c>
      <c r="BQ14" s="31">
        <v>821234</v>
      </c>
      <c r="BR14" s="31">
        <v>755355</v>
      </c>
      <c r="BS14" s="31">
        <v>529143</v>
      </c>
      <c r="BT14" s="31">
        <v>764835</v>
      </c>
      <c r="BU14" s="31">
        <v>558394</v>
      </c>
      <c r="BV14" s="31">
        <v>847064</v>
      </c>
      <c r="BW14" s="31">
        <v>750251</v>
      </c>
      <c r="BX14" s="31">
        <v>801670</v>
      </c>
      <c r="BY14" s="31">
        <v>766289</v>
      </c>
      <c r="BZ14" s="31">
        <v>761578</v>
      </c>
      <c r="CA14" s="31">
        <v>536897</v>
      </c>
      <c r="CB14" s="31">
        <v>530910</v>
      </c>
      <c r="CC14" s="32">
        <v>8423620</v>
      </c>
      <c r="CD14" s="31">
        <v>558374</v>
      </c>
      <c r="CE14" s="31">
        <v>703730</v>
      </c>
      <c r="CF14" s="31">
        <v>563490</v>
      </c>
      <c r="CG14" s="31">
        <v>555538</v>
      </c>
      <c r="CH14" s="31">
        <v>643170</v>
      </c>
      <c r="CI14" s="31">
        <v>562233</v>
      </c>
      <c r="CJ14" s="31">
        <v>847661</v>
      </c>
      <c r="CK14" s="31">
        <v>572138</v>
      </c>
      <c r="CL14" s="31">
        <v>697823</v>
      </c>
      <c r="CM14" s="31">
        <v>622023</v>
      </c>
      <c r="CN14" s="31">
        <v>570632</v>
      </c>
      <c r="CO14" s="31">
        <v>513680</v>
      </c>
      <c r="CP14" s="32">
        <v>7410492</v>
      </c>
      <c r="CQ14" s="31">
        <v>805022</v>
      </c>
      <c r="CR14" s="31">
        <v>696736</v>
      </c>
      <c r="CS14" s="31">
        <v>750829</v>
      </c>
      <c r="CT14" s="31">
        <v>588607</v>
      </c>
      <c r="CU14" s="31">
        <v>781121</v>
      </c>
      <c r="CV14" s="31">
        <v>522874</v>
      </c>
      <c r="CW14" s="31">
        <v>849551</v>
      </c>
      <c r="CX14" s="31">
        <v>667576</v>
      </c>
      <c r="CY14" s="31">
        <v>783895</v>
      </c>
      <c r="CZ14" s="31">
        <v>555862</v>
      </c>
      <c r="DA14" s="31">
        <v>849260</v>
      </c>
      <c r="DB14" s="31">
        <v>717358</v>
      </c>
      <c r="DC14" s="32">
        <v>8568691</v>
      </c>
      <c r="DD14" s="31">
        <v>892781</v>
      </c>
      <c r="DE14" s="31">
        <v>520295</v>
      </c>
      <c r="DF14" s="31">
        <v>824316</v>
      </c>
      <c r="DG14" s="31">
        <v>884758</v>
      </c>
      <c r="DH14" s="31">
        <v>551866</v>
      </c>
      <c r="DI14" s="31">
        <v>786788</v>
      </c>
      <c r="DJ14" s="31">
        <v>769277</v>
      </c>
      <c r="DK14" s="31">
        <v>507921</v>
      </c>
      <c r="DL14" s="31">
        <v>528620</v>
      </c>
      <c r="DM14" s="31">
        <v>753526</v>
      </c>
      <c r="DN14" s="31">
        <v>614196</v>
      </c>
      <c r="DO14" s="31">
        <v>605134</v>
      </c>
      <c r="DP14" s="32">
        <v>8239478</v>
      </c>
      <c r="DQ14" s="31">
        <v>635790</v>
      </c>
      <c r="DR14" s="31">
        <v>820759</v>
      </c>
      <c r="DS14" s="31">
        <v>501737</v>
      </c>
      <c r="DT14" s="31">
        <v>818353</v>
      </c>
      <c r="DU14" s="31">
        <v>808528</v>
      </c>
      <c r="DV14" s="31">
        <v>769443</v>
      </c>
      <c r="DW14" s="31">
        <v>779513</v>
      </c>
      <c r="DX14" s="31">
        <v>646559</v>
      </c>
      <c r="DY14" s="31">
        <v>727834</v>
      </c>
      <c r="DZ14" s="31">
        <v>817651</v>
      </c>
      <c r="EA14" s="31">
        <v>576299</v>
      </c>
      <c r="EB14" s="31">
        <v>804964</v>
      </c>
      <c r="EC14" s="32">
        <v>8707430</v>
      </c>
      <c r="ED14" s="31">
        <v>678440</v>
      </c>
      <c r="EE14" s="31">
        <v>673892</v>
      </c>
      <c r="EF14" s="31">
        <v>782135</v>
      </c>
      <c r="EG14" s="31">
        <v>808604</v>
      </c>
      <c r="EH14" s="31">
        <v>683102</v>
      </c>
      <c r="EI14" s="31">
        <v>502386</v>
      </c>
      <c r="EJ14" s="31">
        <v>704323</v>
      </c>
      <c r="EK14" s="31">
        <v>824209</v>
      </c>
      <c r="EL14" s="31">
        <v>531732</v>
      </c>
      <c r="EM14" s="31">
        <v>761826</v>
      </c>
      <c r="EN14" s="31">
        <v>588723</v>
      </c>
      <c r="EO14" s="31">
        <v>513848</v>
      </c>
      <c r="EP14" s="32">
        <v>8053220</v>
      </c>
    </row>
    <row r="15" spans="1:147" hidden="1" outlineLevel="1" x14ac:dyDescent="0.3">
      <c r="B15" t="s">
        <v>509</v>
      </c>
      <c r="C15" s="2" t="s">
        <v>507</v>
      </c>
      <c r="D15" s="2">
        <v>84794</v>
      </c>
      <c r="E15" s="2">
        <v>73015</v>
      </c>
      <c r="F15" s="2">
        <v>56112</v>
      </c>
      <c r="G15" s="2">
        <v>60690</v>
      </c>
      <c r="H15" s="2">
        <v>71907</v>
      </c>
      <c r="I15" s="2">
        <v>55691</v>
      </c>
      <c r="J15" s="2">
        <v>81705</v>
      </c>
      <c r="K15" s="2">
        <v>84928</v>
      </c>
      <c r="L15" s="2">
        <v>61031</v>
      </c>
      <c r="M15" s="2">
        <v>74538</v>
      </c>
      <c r="N15" s="2">
        <v>78847</v>
      </c>
      <c r="O15" s="2">
        <v>57215</v>
      </c>
      <c r="P15" s="8">
        <v>840473</v>
      </c>
      <c r="Q15" s="2">
        <v>85688</v>
      </c>
      <c r="R15" s="2">
        <v>51019</v>
      </c>
      <c r="S15" s="2">
        <v>59052</v>
      </c>
      <c r="T15" s="2">
        <v>64071</v>
      </c>
      <c r="U15" s="2">
        <v>83961</v>
      </c>
      <c r="V15" s="2">
        <v>50578</v>
      </c>
      <c r="W15" s="2">
        <v>82351</v>
      </c>
      <c r="X15" s="2">
        <v>87511</v>
      </c>
      <c r="Y15" s="2">
        <v>87672</v>
      </c>
      <c r="Z15" s="2">
        <v>84792</v>
      </c>
      <c r="AA15" s="2">
        <v>63063</v>
      </c>
      <c r="AB15" s="2">
        <v>60000</v>
      </c>
      <c r="AC15" s="8">
        <v>859758</v>
      </c>
      <c r="AD15" s="2">
        <v>66564</v>
      </c>
      <c r="AE15" s="2">
        <v>69130</v>
      </c>
      <c r="AF15" s="2">
        <v>84083</v>
      </c>
      <c r="AG15" s="2">
        <v>55076</v>
      </c>
      <c r="AH15" s="2">
        <v>72544</v>
      </c>
      <c r="AI15" s="2">
        <v>73461</v>
      </c>
      <c r="AJ15" s="31">
        <v>54093</v>
      </c>
      <c r="AK15" s="31">
        <v>88994</v>
      </c>
      <c r="AL15" s="31">
        <v>50672</v>
      </c>
      <c r="AM15" s="31">
        <v>80047</v>
      </c>
      <c r="AN15" s="31">
        <v>77427</v>
      </c>
      <c r="AO15" s="31">
        <v>83440</v>
      </c>
      <c r="AP15" s="32">
        <v>855531</v>
      </c>
      <c r="AQ15" s="31">
        <v>50882</v>
      </c>
      <c r="AR15" s="31">
        <v>85199</v>
      </c>
      <c r="AS15" s="31">
        <v>73242</v>
      </c>
      <c r="AT15" s="31">
        <v>61381</v>
      </c>
      <c r="AU15" s="31">
        <v>61440</v>
      </c>
      <c r="AV15" s="31">
        <v>54223</v>
      </c>
      <c r="AW15" s="31">
        <v>78434</v>
      </c>
      <c r="AX15" s="31">
        <v>89765</v>
      </c>
      <c r="AY15" s="31">
        <v>60572</v>
      </c>
      <c r="AZ15" s="31">
        <v>74646</v>
      </c>
      <c r="BA15" s="31">
        <v>78058</v>
      </c>
      <c r="BB15" s="31">
        <v>74506</v>
      </c>
      <c r="BC15" s="32">
        <v>842348</v>
      </c>
      <c r="BD15" s="31">
        <v>62636</v>
      </c>
      <c r="BE15" s="31">
        <v>69141</v>
      </c>
      <c r="BF15" s="31">
        <v>56961</v>
      </c>
      <c r="BG15" s="31">
        <v>78774</v>
      </c>
      <c r="BH15" s="31">
        <v>74517</v>
      </c>
      <c r="BI15" s="31">
        <v>76906</v>
      </c>
      <c r="BJ15" s="31">
        <v>56051</v>
      </c>
      <c r="BK15" s="31">
        <v>75658</v>
      </c>
      <c r="BL15" s="31">
        <v>86493</v>
      </c>
      <c r="BM15" s="31">
        <v>75655</v>
      </c>
      <c r="BN15" s="31">
        <v>70790</v>
      </c>
      <c r="BO15" s="31">
        <v>60466</v>
      </c>
      <c r="BP15" s="32">
        <v>844048</v>
      </c>
      <c r="BQ15" s="31">
        <v>52355</v>
      </c>
      <c r="BR15" s="31">
        <v>66937</v>
      </c>
      <c r="BS15" s="31">
        <v>51489</v>
      </c>
      <c r="BT15" s="31">
        <v>87368</v>
      </c>
      <c r="BU15" s="31">
        <v>67527</v>
      </c>
      <c r="BV15" s="31">
        <v>78027</v>
      </c>
      <c r="BW15" s="31">
        <v>54611</v>
      </c>
      <c r="BX15" s="31">
        <v>79336</v>
      </c>
      <c r="BY15" s="31">
        <v>50475</v>
      </c>
      <c r="BZ15" s="31">
        <v>88262</v>
      </c>
      <c r="CA15" s="31">
        <v>74757</v>
      </c>
      <c r="CB15" s="31">
        <v>60228</v>
      </c>
      <c r="CC15" s="32">
        <v>811372</v>
      </c>
      <c r="CD15" s="31">
        <v>89889</v>
      </c>
      <c r="CE15" s="31">
        <v>75465</v>
      </c>
      <c r="CF15" s="31">
        <v>53880</v>
      </c>
      <c r="CG15" s="31">
        <v>85832</v>
      </c>
      <c r="CH15" s="31">
        <v>53508</v>
      </c>
      <c r="CI15" s="31">
        <v>84808</v>
      </c>
      <c r="CJ15" s="31">
        <v>68071</v>
      </c>
      <c r="CK15" s="31">
        <v>64162</v>
      </c>
      <c r="CL15" s="31">
        <v>78765</v>
      </c>
      <c r="CM15" s="31">
        <v>59193</v>
      </c>
      <c r="CN15" s="31">
        <v>74157</v>
      </c>
      <c r="CO15" s="31">
        <v>84569</v>
      </c>
      <c r="CP15" s="32">
        <v>872299</v>
      </c>
      <c r="CQ15" s="31">
        <v>73382</v>
      </c>
      <c r="CR15" s="31">
        <v>70241</v>
      </c>
      <c r="CS15" s="31">
        <v>55071</v>
      </c>
      <c r="CT15" s="31">
        <v>73015</v>
      </c>
      <c r="CU15" s="31">
        <v>64202</v>
      </c>
      <c r="CV15" s="31">
        <v>65525</v>
      </c>
      <c r="CW15" s="31">
        <v>76740</v>
      </c>
      <c r="CX15" s="31">
        <v>77986</v>
      </c>
      <c r="CY15" s="31">
        <v>58274</v>
      </c>
      <c r="CZ15" s="31">
        <v>68662</v>
      </c>
      <c r="DA15" s="31">
        <v>68085</v>
      </c>
      <c r="DB15" s="31">
        <v>83316</v>
      </c>
      <c r="DC15" s="32">
        <v>834499</v>
      </c>
      <c r="DD15" s="31">
        <v>72995</v>
      </c>
      <c r="DE15" s="31">
        <v>62850</v>
      </c>
      <c r="DF15" s="31">
        <v>61233</v>
      </c>
      <c r="DG15" s="31">
        <v>79717</v>
      </c>
      <c r="DH15" s="31">
        <v>59971</v>
      </c>
      <c r="DI15" s="31">
        <v>88274</v>
      </c>
      <c r="DJ15" s="31">
        <v>60594</v>
      </c>
      <c r="DK15" s="31">
        <v>89926</v>
      </c>
      <c r="DL15" s="31">
        <v>87640</v>
      </c>
      <c r="DM15" s="31">
        <v>83006</v>
      </c>
      <c r="DN15" s="31">
        <v>69038</v>
      </c>
      <c r="DO15" s="31">
        <v>82112</v>
      </c>
      <c r="DP15" s="32">
        <v>897356</v>
      </c>
      <c r="DQ15" s="31">
        <v>56313</v>
      </c>
      <c r="DR15" s="31">
        <v>57051</v>
      </c>
      <c r="DS15" s="31">
        <v>68066</v>
      </c>
      <c r="DT15" s="31">
        <v>51656</v>
      </c>
      <c r="DU15" s="31">
        <v>77516</v>
      </c>
      <c r="DV15" s="31">
        <v>86984</v>
      </c>
      <c r="DW15" s="31">
        <v>54850</v>
      </c>
      <c r="DX15" s="31">
        <v>71223</v>
      </c>
      <c r="DY15" s="31">
        <v>82598</v>
      </c>
      <c r="DZ15" s="31">
        <v>61514</v>
      </c>
      <c r="EA15" s="31">
        <v>69370</v>
      </c>
      <c r="EB15" s="31">
        <v>81399</v>
      </c>
      <c r="EC15" s="32">
        <v>818540</v>
      </c>
      <c r="ED15" s="31">
        <v>78761</v>
      </c>
      <c r="EE15" s="31">
        <v>73997</v>
      </c>
      <c r="EF15" s="31">
        <v>80457</v>
      </c>
      <c r="EG15" s="31">
        <v>82113</v>
      </c>
      <c r="EH15" s="31">
        <v>82303</v>
      </c>
      <c r="EI15" s="31">
        <v>59236</v>
      </c>
      <c r="EJ15" s="31">
        <v>70043</v>
      </c>
      <c r="EK15" s="31">
        <v>64220</v>
      </c>
      <c r="EL15" s="31">
        <v>89654</v>
      </c>
      <c r="EM15" s="31">
        <v>84008</v>
      </c>
      <c r="EN15" s="31">
        <v>68392</v>
      </c>
      <c r="EO15" s="31">
        <v>68906</v>
      </c>
      <c r="EP15" s="32">
        <v>902090</v>
      </c>
    </row>
    <row r="16" spans="1:147" hidden="1" outlineLevel="1" x14ac:dyDescent="0.3">
      <c r="B16" t="s">
        <v>509</v>
      </c>
      <c r="C16" s="2" t="s">
        <v>508</v>
      </c>
      <c r="D16" s="2">
        <v>68910</v>
      </c>
      <c r="E16" s="2">
        <v>80060</v>
      </c>
      <c r="F16" s="2">
        <v>61703</v>
      </c>
      <c r="G16" s="2">
        <v>82503</v>
      </c>
      <c r="H16" s="2">
        <v>82990</v>
      </c>
      <c r="I16" s="2">
        <v>89382</v>
      </c>
      <c r="J16" s="2">
        <v>76945</v>
      </c>
      <c r="K16" s="2">
        <v>69106</v>
      </c>
      <c r="L16" s="2">
        <v>54569</v>
      </c>
      <c r="M16" s="2">
        <v>78464</v>
      </c>
      <c r="N16" s="2">
        <v>75022</v>
      </c>
      <c r="O16" s="2">
        <v>68806</v>
      </c>
      <c r="P16" s="8">
        <v>888460</v>
      </c>
      <c r="Q16" s="2">
        <v>54543</v>
      </c>
      <c r="R16" s="2">
        <v>65973</v>
      </c>
      <c r="S16" s="2">
        <v>72668</v>
      </c>
      <c r="T16" s="2">
        <v>88339</v>
      </c>
      <c r="U16" s="2">
        <v>89632</v>
      </c>
      <c r="V16" s="2">
        <v>62905</v>
      </c>
      <c r="W16" s="2">
        <v>73913</v>
      </c>
      <c r="X16" s="2">
        <v>72593</v>
      </c>
      <c r="Y16" s="2">
        <v>88541</v>
      </c>
      <c r="Z16" s="2">
        <v>54060</v>
      </c>
      <c r="AA16" s="2">
        <v>51086</v>
      </c>
      <c r="AB16" s="2">
        <v>72695</v>
      </c>
      <c r="AC16" s="8">
        <v>846948</v>
      </c>
      <c r="AD16" s="2">
        <v>56680</v>
      </c>
      <c r="AE16" s="2">
        <v>72364</v>
      </c>
      <c r="AF16" s="2">
        <v>83377</v>
      </c>
      <c r="AG16" s="2">
        <v>55793</v>
      </c>
      <c r="AH16" s="2">
        <v>68166</v>
      </c>
      <c r="AI16" s="2">
        <v>78053</v>
      </c>
      <c r="AJ16" s="31">
        <v>54361</v>
      </c>
      <c r="AK16" s="31">
        <v>65779</v>
      </c>
      <c r="AL16" s="31">
        <v>59331</v>
      </c>
      <c r="AM16" s="31">
        <v>66472</v>
      </c>
      <c r="AN16" s="31">
        <v>69278</v>
      </c>
      <c r="AO16" s="31">
        <v>56504</v>
      </c>
      <c r="AP16" s="32">
        <v>786158</v>
      </c>
      <c r="AQ16" s="31">
        <v>87254</v>
      </c>
      <c r="AR16" s="31">
        <v>55002</v>
      </c>
      <c r="AS16" s="31">
        <v>82328</v>
      </c>
      <c r="AT16" s="31">
        <v>62973</v>
      </c>
      <c r="AU16" s="31">
        <v>80478</v>
      </c>
      <c r="AV16" s="31">
        <v>74441</v>
      </c>
      <c r="AW16" s="31">
        <v>68155</v>
      </c>
      <c r="AX16" s="31">
        <v>63148</v>
      </c>
      <c r="AY16" s="31">
        <v>73294</v>
      </c>
      <c r="AZ16" s="31">
        <v>85969</v>
      </c>
      <c r="BA16" s="31">
        <v>52189</v>
      </c>
      <c r="BB16" s="31">
        <v>66412</v>
      </c>
      <c r="BC16" s="32">
        <v>851643</v>
      </c>
      <c r="BD16" s="31">
        <v>77734</v>
      </c>
      <c r="BE16" s="31">
        <v>80953</v>
      </c>
      <c r="BF16" s="31">
        <v>89751</v>
      </c>
      <c r="BG16" s="31">
        <v>67792</v>
      </c>
      <c r="BH16" s="31">
        <v>51813</v>
      </c>
      <c r="BI16" s="31">
        <v>82039</v>
      </c>
      <c r="BJ16" s="31">
        <v>64347</v>
      </c>
      <c r="BK16" s="31">
        <v>70100</v>
      </c>
      <c r="BL16" s="31">
        <v>79396</v>
      </c>
      <c r="BM16" s="31">
        <v>59688</v>
      </c>
      <c r="BN16" s="31">
        <v>56021</v>
      </c>
      <c r="BO16" s="31">
        <v>68719</v>
      </c>
      <c r="BP16" s="32">
        <v>848353</v>
      </c>
      <c r="BQ16" s="31">
        <v>56451</v>
      </c>
      <c r="BR16" s="31">
        <v>63502</v>
      </c>
      <c r="BS16" s="31">
        <v>74327</v>
      </c>
      <c r="BT16" s="31">
        <v>66381</v>
      </c>
      <c r="BU16" s="31">
        <v>50090</v>
      </c>
      <c r="BV16" s="31">
        <v>63989</v>
      </c>
      <c r="BW16" s="31">
        <v>81503</v>
      </c>
      <c r="BX16" s="31">
        <v>72623</v>
      </c>
      <c r="BY16" s="31">
        <v>63975</v>
      </c>
      <c r="BZ16" s="31">
        <v>51987</v>
      </c>
      <c r="CA16" s="31">
        <v>88205</v>
      </c>
      <c r="CB16" s="31">
        <v>75964</v>
      </c>
      <c r="CC16" s="32">
        <v>808997</v>
      </c>
      <c r="CD16" s="31">
        <v>78851</v>
      </c>
      <c r="CE16" s="31">
        <v>61395</v>
      </c>
      <c r="CF16" s="31">
        <v>67933</v>
      </c>
      <c r="CG16" s="31">
        <v>70830</v>
      </c>
      <c r="CH16" s="31">
        <v>69231</v>
      </c>
      <c r="CI16" s="31">
        <v>82898</v>
      </c>
      <c r="CJ16" s="31">
        <v>51528</v>
      </c>
      <c r="CK16" s="31">
        <v>58945</v>
      </c>
      <c r="CL16" s="31">
        <v>65563</v>
      </c>
      <c r="CM16" s="31">
        <v>79180</v>
      </c>
      <c r="CN16" s="31">
        <v>82014</v>
      </c>
      <c r="CO16" s="31">
        <v>76198</v>
      </c>
      <c r="CP16" s="32">
        <v>844566</v>
      </c>
      <c r="CQ16" s="31">
        <v>84458</v>
      </c>
      <c r="CR16" s="31">
        <v>54002</v>
      </c>
      <c r="CS16" s="31">
        <v>81679</v>
      </c>
      <c r="CT16" s="31">
        <v>63435</v>
      </c>
      <c r="CU16" s="31">
        <v>71043</v>
      </c>
      <c r="CV16" s="31">
        <v>50287</v>
      </c>
      <c r="CW16" s="31">
        <v>88703</v>
      </c>
      <c r="CX16" s="31">
        <v>70894</v>
      </c>
      <c r="CY16" s="31">
        <v>87521</v>
      </c>
      <c r="CZ16" s="31">
        <v>59489</v>
      </c>
      <c r="DA16" s="31">
        <v>70445</v>
      </c>
      <c r="DB16" s="31">
        <v>53877</v>
      </c>
      <c r="DC16" s="32">
        <v>835833</v>
      </c>
      <c r="DD16" s="31">
        <v>56861</v>
      </c>
      <c r="DE16" s="31">
        <v>72113</v>
      </c>
      <c r="DF16" s="31">
        <v>59106</v>
      </c>
      <c r="DG16" s="31">
        <v>78262</v>
      </c>
      <c r="DH16" s="31">
        <v>73284</v>
      </c>
      <c r="DI16" s="31">
        <v>78948</v>
      </c>
      <c r="DJ16" s="31">
        <v>78681</v>
      </c>
      <c r="DK16" s="31">
        <v>70060</v>
      </c>
      <c r="DL16" s="31">
        <v>77410</v>
      </c>
      <c r="DM16" s="31">
        <v>55807</v>
      </c>
      <c r="DN16" s="31">
        <v>60712</v>
      </c>
      <c r="DO16" s="31">
        <v>75378</v>
      </c>
      <c r="DP16" s="32">
        <v>836622</v>
      </c>
      <c r="DQ16" s="31">
        <v>77168</v>
      </c>
      <c r="DR16" s="31">
        <v>54585</v>
      </c>
      <c r="DS16" s="31">
        <v>67103</v>
      </c>
      <c r="DT16" s="31">
        <v>50906</v>
      </c>
      <c r="DU16" s="31">
        <v>67559</v>
      </c>
      <c r="DV16" s="31">
        <v>60855</v>
      </c>
      <c r="DW16" s="31">
        <v>60310</v>
      </c>
      <c r="DX16" s="31">
        <v>59577</v>
      </c>
      <c r="DY16" s="31">
        <v>52668</v>
      </c>
      <c r="DZ16" s="31">
        <v>55831</v>
      </c>
      <c r="EA16" s="31">
        <v>78354</v>
      </c>
      <c r="EB16" s="31">
        <v>87293</v>
      </c>
      <c r="EC16" s="32">
        <v>772209</v>
      </c>
      <c r="ED16" s="31">
        <v>81578</v>
      </c>
      <c r="EE16" s="31">
        <v>87208</v>
      </c>
      <c r="EF16" s="31">
        <v>81646</v>
      </c>
      <c r="EG16" s="31">
        <v>57776</v>
      </c>
      <c r="EH16" s="31">
        <v>82626</v>
      </c>
      <c r="EI16" s="31">
        <v>85527</v>
      </c>
      <c r="EJ16" s="31">
        <v>62893</v>
      </c>
      <c r="EK16" s="31">
        <v>84800</v>
      </c>
      <c r="EL16" s="31">
        <v>78379</v>
      </c>
      <c r="EM16" s="31">
        <v>71237</v>
      </c>
      <c r="EN16" s="31">
        <v>75680</v>
      </c>
      <c r="EO16" s="31">
        <v>56049</v>
      </c>
      <c r="EP16" s="32">
        <v>905399</v>
      </c>
    </row>
    <row r="17" spans="3:147" s="38" customFormat="1" collapsed="1" x14ac:dyDescent="0.3">
      <c r="C17" s="44" t="s">
        <v>519</v>
      </c>
      <c r="D17" s="44">
        <f>SUM(D11:D16)</f>
        <v>3423682</v>
      </c>
      <c r="E17" s="44">
        <f t="shared" ref="E17:P17" si="134">SUM(E11:E16)</f>
        <v>3134110</v>
      </c>
      <c r="F17" s="44">
        <f t="shared" si="134"/>
        <v>3196305</v>
      </c>
      <c r="G17" s="44">
        <f t="shared" si="134"/>
        <v>3232244</v>
      </c>
      <c r="H17" s="44">
        <f t="shared" si="134"/>
        <v>3221350</v>
      </c>
      <c r="I17" s="44">
        <f t="shared" si="134"/>
        <v>3195633</v>
      </c>
      <c r="J17" s="44">
        <f t="shared" si="134"/>
        <v>3071233</v>
      </c>
      <c r="K17" s="44">
        <f t="shared" si="134"/>
        <v>3473296</v>
      </c>
      <c r="L17" s="44">
        <f t="shared" si="134"/>
        <v>3214243</v>
      </c>
      <c r="M17" s="44">
        <f t="shared" si="134"/>
        <v>3154082</v>
      </c>
      <c r="N17" s="44">
        <f t="shared" si="134"/>
        <v>3071751</v>
      </c>
      <c r="O17" s="44">
        <f t="shared" si="134"/>
        <v>3224210</v>
      </c>
      <c r="P17" s="44">
        <f t="shared" si="134"/>
        <v>38612139</v>
      </c>
      <c r="Q17" s="44">
        <f t="shared" ref="Q17" si="135">SUM(Q11:Q16)</f>
        <v>3214870</v>
      </c>
      <c r="R17" s="44">
        <f t="shared" ref="R17" si="136">SUM(R11:R16)</f>
        <v>3202831</v>
      </c>
      <c r="S17" s="44">
        <f t="shared" ref="S17" si="137">SUM(S11:S16)</f>
        <v>3279151</v>
      </c>
      <c r="T17" s="44">
        <f t="shared" ref="T17" si="138">SUM(T11:T16)</f>
        <v>3249441</v>
      </c>
      <c r="U17" s="44">
        <f t="shared" ref="U17" si="139">SUM(U11:U16)</f>
        <v>3166260</v>
      </c>
      <c r="V17" s="44">
        <f t="shared" ref="V17" si="140">SUM(V11:V16)</f>
        <v>3370921</v>
      </c>
      <c r="W17" s="44">
        <f t="shared" ref="W17" si="141">SUM(W11:W16)</f>
        <v>3039568</v>
      </c>
      <c r="X17" s="44">
        <f t="shared" ref="X17" si="142">SUM(X11:X16)</f>
        <v>2927227</v>
      </c>
      <c r="Y17" s="44">
        <f t="shared" ref="Y17" si="143">SUM(Y11:Y16)</f>
        <v>3169886</v>
      </c>
      <c r="Z17" s="44">
        <f t="shared" ref="Z17" si="144">SUM(Z11:Z16)</f>
        <v>3246196</v>
      </c>
      <c r="AA17" s="44">
        <f t="shared" ref="AA17" si="145">SUM(AA11:AA16)</f>
        <v>2907538</v>
      </c>
      <c r="AB17" s="44">
        <f t="shared" ref="AB17" si="146">SUM(AB11:AB16)</f>
        <v>3252443</v>
      </c>
      <c r="AC17" s="44">
        <f t="shared" ref="AC17" si="147">SUM(AC11:AC16)</f>
        <v>38026332</v>
      </c>
      <c r="AD17" s="44">
        <f t="shared" ref="AD17" si="148">SUM(AD11:AD16)</f>
        <v>3200228</v>
      </c>
      <c r="AE17" s="44">
        <f t="shared" ref="AE17" si="149">SUM(AE11:AE16)</f>
        <v>2904213</v>
      </c>
      <c r="AF17" s="44">
        <f t="shared" ref="AF17" si="150">SUM(AF11:AF16)</f>
        <v>3226502</v>
      </c>
      <c r="AG17" s="44">
        <f t="shared" ref="AG17" si="151">SUM(AG11:AG16)</f>
        <v>3059138</v>
      </c>
      <c r="AH17" s="44">
        <f t="shared" ref="AH17" si="152">SUM(AH11:AH16)</f>
        <v>3209877</v>
      </c>
      <c r="AI17" s="44">
        <f t="shared" ref="AI17" si="153">SUM(AI11:AI16)</f>
        <v>3282594</v>
      </c>
      <c r="AJ17" s="44">
        <f t="shared" ref="AJ17" si="154">SUM(AJ11:AJ16)</f>
        <v>2918591</v>
      </c>
      <c r="AK17" s="44">
        <f t="shared" ref="AK17" si="155">SUM(AK11:AK16)</f>
        <v>2977304</v>
      </c>
      <c r="AL17" s="44">
        <f t="shared" ref="AL17" si="156">SUM(AL11:AL16)</f>
        <v>2822382</v>
      </c>
      <c r="AM17" s="44">
        <f t="shared" ref="AM17" si="157">SUM(AM11:AM16)</f>
        <v>3062911</v>
      </c>
      <c r="AN17" s="44">
        <f t="shared" ref="AN17" si="158">SUM(AN11:AN16)</f>
        <v>3438682</v>
      </c>
      <c r="AO17" s="44">
        <f t="shared" ref="AO17" si="159">SUM(AO11:AO16)</f>
        <v>2911202</v>
      </c>
      <c r="AP17" s="44">
        <f t="shared" ref="AP17" si="160">SUM(AP11:AP16)</f>
        <v>37013624</v>
      </c>
      <c r="AQ17" s="44">
        <f t="shared" ref="AQ17" si="161">SUM(AQ11:AQ16)</f>
        <v>3174818</v>
      </c>
      <c r="AR17" s="44">
        <f t="shared" ref="AR17" si="162">SUM(AR11:AR16)</f>
        <v>3177835</v>
      </c>
      <c r="AS17" s="44">
        <f t="shared" ref="AS17" si="163">SUM(AS11:AS16)</f>
        <v>3132937</v>
      </c>
      <c r="AT17" s="44">
        <f t="shared" ref="AT17" si="164">SUM(AT11:AT16)</f>
        <v>3153545</v>
      </c>
      <c r="AU17" s="44">
        <f t="shared" ref="AU17" si="165">SUM(AU11:AU16)</f>
        <v>3307602</v>
      </c>
      <c r="AV17" s="44">
        <f t="shared" ref="AV17" si="166">SUM(AV11:AV16)</f>
        <v>2947984</v>
      </c>
      <c r="AW17" s="44">
        <f t="shared" ref="AW17" si="167">SUM(AW11:AW16)</f>
        <v>2866694</v>
      </c>
      <c r="AX17" s="44">
        <f t="shared" ref="AX17" si="168">SUM(AX11:AX16)</f>
        <v>3205345</v>
      </c>
      <c r="AY17" s="44">
        <f t="shared" ref="AY17" si="169">SUM(AY11:AY16)</f>
        <v>3060886</v>
      </c>
      <c r="AZ17" s="44">
        <f t="shared" ref="AZ17" si="170">SUM(AZ11:AZ16)</f>
        <v>3314686</v>
      </c>
      <c r="BA17" s="44">
        <f t="shared" ref="BA17" si="171">SUM(BA11:BA16)</f>
        <v>3167736</v>
      </c>
      <c r="BB17" s="44">
        <f t="shared" ref="BB17" si="172">SUM(BB11:BB16)</f>
        <v>2917445</v>
      </c>
      <c r="BC17" s="44">
        <f t="shared" ref="BC17" si="173">SUM(BC11:BC16)</f>
        <v>37427513</v>
      </c>
      <c r="BD17" s="44">
        <f t="shared" ref="BD17" si="174">SUM(BD11:BD16)</f>
        <v>3009341</v>
      </c>
      <c r="BE17" s="44">
        <f t="shared" ref="BE17" si="175">SUM(BE11:BE16)</f>
        <v>3262876</v>
      </c>
      <c r="BF17" s="44">
        <f t="shared" ref="BF17" si="176">SUM(BF11:BF16)</f>
        <v>3295426</v>
      </c>
      <c r="BG17" s="44">
        <f t="shared" ref="BG17" si="177">SUM(BG11:BG16)</f>
        <v>3121576</v>
      </c>
      <c r="BH17" s="44">
        <f t="shared" ref="BH17" si="178">SUM(BH11:BH16)</f>
        <v>2869664</v>
      </c>
      <c r="BI17" s="44">
        <f t="shared" ref="BI17" si="179">SUM(BI11:BI16)</f>
        <v>3093252</v>
      </c>
      <c r="BJ17" s="44">
        <f t="shared" ref="BJ17" si="180">SUM(BJ11:BJ16)</f>
        <v>3123613</v>
      </c>
      <c r="BK17" s="44">
        <f t="shared" ref="BK17" si="181">SUM(BK11:BK16)</f>
        <v>2819812</v>
      </c>
      <c r="BL17" s="44">
        <f t="shared" ref="BL17" si="182">SUM(BL11:BL16)</f>
        <v>3027037</v>
      </c>
      <c r="BM17" s="44">
        <f t="shared" ref="BM17" si="183">SUM(BM11:BM16)</f>
        <v>3120098</v>
      </c>
      <c r="BN17" s="44">
        <f t="shared" ref="BN17" si="184">SUM(BN11:BN16)</f>
        <v>3088693</v>
      </c>
      <c r="BO17" s="44">
        <f t="shared" ref="BO17" si="185">SUM(BO11:BO16)</f>
        <v>3101939</v>
      </c>
      <c r="BP17" s="44">
        <f t="shared" ref="BP17" si="186">SUM(BP11:BP16)</f>
        <v>36933327</v>
      </c>
      <c r="BQ17" s="44">
        <f t="shared" ref="BQ17" si="187">SUM(BQ11:BQ16)</f>
        <v>3101423</v>
      </c>
      <c r="BR17" s="44">
        <f t="shared" ref="BR17" si="188">SUM(BR11:BR16)</f>
        <v>3201818</v>
      </c>
      <c r="BS17" s="44">
        <f t="shared" ref="BS17" si="189">SUM(BS11:BS16)</f>
        <v>2945841</v>
      </c>
      <c r="BT17" s="44">
        <f t="shared" ref="BT17" si="190">SUM(BT11:BT16)</f>
        <v>3192578</v>
      </c>
      <c r="BU17" s="44">
        <f t="shared" ref="BU17" si="191">SUM(BU11:BU16)</f>
        <v>2832215</v>
      </c>
      <c r="BV17" s="44">
        <f t="shared" ref="BV17" si="192">SUM(BV11:BV16)</f>
        <v>3228591</v>
      </c>
      <c r="BW17" s="44">
        <f t="shared" ref="BW17" si="193">SUM(BW11:BW16)</f>
        <v>3103804</v>
      </c>
      <c r="BX17" s="44">
        <f t="shared" ref="BX17" si="194">SUM(BX11:BX16)</f>
        <v>3294362</v>
      </c>
      <c r="BY17" s="44">
        <f t="shared" ref="BY17" si="195">SUM(BY11:BY16)</f>
        <v>3154274</v>
      </c>
      <c r="BZ17" s="44">
        <f t="shared" ref="BZ17" si="196">SUM(BZ11:BZ16)</f>
        <v>3282447</v>
      </c>
      <c r="CA17" s="44">
        <f t="shared" ref="CA17" si="197">SUM(CA11:CA16)</f>
        <v>2859649</v>
      </c>
      <c r="CB17" s="44">
        <f t="shared" ref="CB17" si="198">SUM(CB11:CB16)</f>
        <v>3073055</v>
      </c>
      <c r="CC17" s="44">
        <f t="shared" ref="CC17" si="199">SUM(CC11:CC16)</f>
        <v>37270057</v>
      </c>
      <c r="CD17" s="44">
        <f t="shared" ref="CD17" si="200">SUM(CD11:CD16)</f>
        <v>3056588</v>
      </c>
      <c r="CE17" s="44">
        <f t="shared" ref="CE17" si="201">SUM(CE11:CE16)</f>
        <v>3078975</v>
      </c>
      <c r="CF17" s="44">
        <f t="shared" ref="CF17" si="202">SUM(CF11:CF16)</f>
        <v>2993781</v>
      </c>
      <c r="CG17" s="44">
        <f t="shared" ref="CG17" si="203">SUM(CG11:CG16)</f>
        <v>3005635</v>
      </c>
      <c r="CH17" s="44">
        <f t="shared" ref="CH17" si="204">SUM(CH11:CH16)</f>
        <v>2980294</v>
      </c>
      <c r="CI17" s="44">
        <f t="shared" ref="CI17" si="205">SUM(CI11:CI16)</f>
        <v>2917135</v>
      </c>
      <c r="CJ17" s="44">
        <f t="shared" ref="CJ17" si="206">SUM(CJ11:CJ16)</f>
        <v>3258310</v>
      </c>
      <c r="CK17" s="44">
        <f t="shared" ref="CK17" si="207">SUM(CK11:CK16)</f>
        <v>3201928</v>
      </c>
      <c r="CL17" s="44">
        <f t="shared" ref="CL17" si="208">SUM(CL11:CL16)</f>
        <v>3126293</v>
      </c>
      <c r="CM17" s="44">
        <f t="shared" ref="CM17" si="209">SUM(CM11:CM16)</f>
        <v>2848577</v>
      </c>
      <c r="CN17" s="44">
        <f t="shared" ref="CN17" si="210">SUM(CN11:CN16)</f>
        <v>2806096</v>
      </c>
      <c r="CO17" s="44">
        <f t="shared" ref="CO17" si="211">SUM(CO11:CO16)</f>
        <v>2942195</v>
      </c>
      <c r="CP17" s="44">
        <f t="shared" ref="CP17" si="212">SUM(CP11:CP16)</f>
        <v>36215807</v>
      </c>
      <c r="CQ17" s="44">
        <f t="shared" ref="CQ17" si="213">SUM(CQ11:CQ16)</f>
        <v>3294497</v>
      </c>
      <c r="CR17" s="44">
        <f t="shared" ref="CR17" si="214">SUM(CR11:CR16)</f>
        <v>3212357</v>
      </c>
      <c r="CS17" s="44">
        <f t="shared" ref="CS17" si="215">SUM(CS11:CS16)</f>
        <v>3166660</v>
      </c>
      <c r="CT17" s="44">
        <f t="shared" ref="CT17" si="216">SUM(CT11:CT16)</f>
        <v>2836176</v>
      </c>
      <c r="CU17" s="44">
        <f t="shared" ref="CU17" si="217">SUM(CU11:CU16)</f>
        <v>3222058</v>
      </c>
      <c r="CV17" s="44">
        <f t="shared" ref="CV17" si="218">SUM(CV11:CV16)</f>
        <v>2890409</v>
      </c>
      <c r="CW17" s="44">
        <f t="shared" ref="CW17" si="219">SUM(CW11:CW16)</f>
        <v>3189276</v>
      </c>
      <c r="CX17" s="44">
        <f t="shared" ref="CX17" si="220">SUM(CX11:CX16)</f>
        <v>2928386</v>
      </c>
      <c r="CY17" s="44">
        <f t="shared" ref="CY17" si="221">SUM(CY11:CY16)</f>
        <v>3036484</v>
      </c>
      <c r="CZ17" s="44">
        <f t="shared" ref="CZ17" si="222">SUM(CZ11:CZ16)</f>
        <v>2982684</v>
      </c>
      <c r="DA17" s="44">
        <f t="shared" ref="DA17" si="223">SUM(DA11:DA16)</f>
        <v>3102085</v>
      </c>
      <c r="DB17" s="44">
        <f t="shared" ref="DB17" si="224">SUM(DB11:DB16)</f>
        <v>2963572</v>
      </c>
      <c r="DC17" s="44">
        <f t="shared" ref="DC17" si="225">SUM(DC11:DC16)</f>
        <v>36824644</v>
      </c>
      <c r="DD17" s="44">
        <f t="shared" ref="DD17" si="226">SUM(DD11:DD16)</f>
        <v>3476482</v>
      </c>
      <c r="DE17" s="44">
        <f t="shared" ref="DE17" si="227">SUM(DE11:DE16)</f>
        <v>2800155</v>
      </c>
      <c r="DF17" s="44">
        <f t="shared" ref="DF17" si="228">SUM(DF11:DF16)</f>
        <v>3312571</v>
      </c>
      <c r="DG17" s="44">
        <f t="shared" ref="DG17" si="229">SUM(DG11:DG16)</f>
        <v>3270635</v>
      </c>
      <c r="DH17" s="44">
        <f t="shared" ref="DH17" si="230">SUM(DH11:DH16)</f>
        <v>2831789</v>
      </c>
      <c r="DI17" s="44">
        <f t="shared" ref="DI17" si="231">SUM(DI11:DI16)</f>
        <v>3320617</v>
      </c>
      <c r="DJ17" s="44">
        <f t="shared" ref="DJ17" si="232">SUM(DJ11:DJ16)</f>
        <v>3087595</v>
      </c>
      <c r="DK17" s="44">
        <f t="shared" ref="DK17" si="233">SUM(DK11:DK16)</f>
        <v>2950982</v>
      </c>
      <c r="DL17" s="44">
        <f t="shared" ref="DL17" si="234">SUM(DL11:DL16)</f>
        <v>2956474</v>
      </c>
      <c r="DM17" s="44">
        <f t="shared" ref="DM17" si="235">SUM(DM11:DM16)</f>
        <v>3149816</v>
      </c>
      <c r="DN17" s="44">
        <f t="shared" ref="DN17" si="236">SUM(DN11:DN16)</f>
        <v>3126967</v>
      </c>
      <c r="DO17" s="44">
        <f t="shared" ref="DO17" si="237">SUM(DO11:DO16)</f>
        <v>2895698</v>
      </c>
      <c r="DP17" s="44">
        <f t="shared" ref="DP17" si="238">SUM(DP11:DP16)</f>
        <v>37179781</v>
      </c>
      <c r="DQ17" s="44">
        <f t="shared" ref="DQ17" si="239">SUM(DQ11:DQ16)</f>
        <v>2893061</v>
      </c>
      <c r="DR17" s="44">
        <f t="shared" ref="DR17" si="240">SUM(DR11:DR16)</f>
        <v>3149591</v>
      </c>
      <c r="DS17" s="44">
        <f t="shared" ref="DS17" si="241">SUM(DS11:DS16)</f>
        <v>3113869</v>
      </c>
      <c r="DT17" s="44">
        <f t="shared" ref="DT17" si="242">SUM(DT11:DT16)</f>
        <v>3065103</v>
      </c>
      <c r="DU17" s="44">
        <f t="shared" ref="DU17" si="243">SUM(DU11:DU16)</f>
        <v>3243005</v>
      </c>
      <c r="DV17" s="44">
        <f t="shared" ref="DV17" si="244">SUM(DV11:DV16)</f>
        <v>3314972</v>
      </c>
      <c r="DW17" s="44">
        <f t="shared" ref="DW17" si="245">SUM(DW11:DW16)</f>
        <v>3131290</v>
      </c>
      <c r="DX17" s="44">
        <f t="shared" ref="DX17" si="246">SUM(DX11:DX16)</f>
        <v>3092718</v>
      </c>
      <c r="DY17" s="44">
        <f t="shared" ref="DY17" si="247">SUM(DY11:DY16)</f>
        <v>3282041</v>
      </c>
      <c r="DZ17" s="44">
        <f t="shared" ref="DZ17" si="248">SUM(DZ11:DZ16)</f>
        <v>3050313</v>
      </c>
      <c r="EA17" s="44">
        <f t="shared" ref="EA17" si="249">SUM(EA11:EA16)</f>
        <v>2985379</v>
      </c>
      <c r="EB17" s="44">
        <f t="shared" ref="EB17" si="250">SUM(EB11:EB16)</f>
        <v>3289876</v>
      </c>
      <c r="EC17" s="44">
        <f t="shared" ref="EC17" si="251">SUM(EC11:EC16)</f>
        <v>37611218</v>
      </c>
      <c r="ED17" s="44">
        <f t="shared" ref="ED17" si="252">SUM(ED11:ED16)</f>
        <v>3026490</v>
      </c>
      <c r="EE17" s="44">
        <f t="shared" ref="EE17" si="253">SUM(EE11:EE16)</f>
        <v>3223808</v>
      </c>
      <c r="EF17" s="44">
        <f t="shared" ref="EF17" si="254">SUM(EF11:EF16)</f>
        <v>3243498</v>
      </c>
      <c r="EG17" s="44">
        <f t="shared" ref="EG17" si="255">SUM(EG11:EG16)</f>
        <v>3169605</v>
      </c>
      <c r="EH17" s="44">
        <f t="shared" ref="EH17" si="256">SUM(EH11:EH16)</f>
        <v>3177510</v>
      </c>
      <c r="EI17" s="44">
        <f t="shared" ref="EI17" si="257">SUM(EI11:EI16)</f>
        <v>2995171</v>
      </c>
      <c r="EJ17" s="44">
        <f t="shared" ref="EJ17" si="258">SUM(EJ11:EJ16)</f>
        <v>3066257</v>
      </c>
      <c r="EK17" s="44">
        <f t="shared" ref="EK17" si="259">SUM(EK11:EK16)</f>
        <v>3375129</v>
      </c>
      <c r="EL17" s="44">
        <f t="shared" ref="EL17" si="260">SUM(EL11:EL16)</f>
        <v>2820833</v>
      </c>
      <c r="EM17" s="44">
        <f t="shared" ref="EM17" si="261">SUM(EM11:EM16)</f>
        <v>3217129</v>
      </c>
      <c r="EN17" s="44">
        <f t="shared" ref="EN17" si="262">SUM(EN11:EN16)</f>
        <v>2959716</v>
      </c>
      <c r="EO17" s="44">
        <f t="shared" ref="EO17" si="263">SUM(EO11:EO16)</f>
        <v>2831521</v>
      </c>
      <c r="EP17" s="44">
        <f t="shared" ref="EP17" si="264">SUM(EP11:EP16)</f>
        <v>37106667</v>
      </c>
      <c r="EQ17" s="39"/>
    </row>
    <row r="18" spans="3:147" x14ac:dyDescent="0.3">
      <c r="C18" s="2" t="s">
        <v>510</v>
      </c>
      <c r="D18" s="15">
        <f>(D10-D17)</f>
        <v>29131328.75</v>
      </c>
      <c r="E18" s="15">
        <f t="shared" ref="E18:P18" si="265">(E10-E17)</f>
        <v>28761976.32</v>
      </c>
      <c r="F18" s="15">
        <f t="shared" si="265"/>
        <v>8767907.6799999997</v>
      </c>
      <c r="G18" s="15">
        <f t="shared" si="265"/>
        <v>25363354.98</v>
      </c>
      <c r="H18" s="15">
        <f t="shared" si="265"/>
        <v>22028940.16</v>
      </c>
      <c r="I18" s="15">
        <f t="shared" si="265"/>
        <v>10471217.039999999</v>
      </c>
      <c r="J18" s="15">
        <f t="shared" si="265"/>
        <v>16718662.02</v>
      </c>
      <c r="K18" s="15">
        <f t="shared" si="265"/>
        <v>7717973.2599999998</v>
      </c>
      <c r="L18" s="15">
        <f t="shared" si="265"/>
        <v>11647174.84</v>
      </c>
      <c r="M18" s="15">
        <f t="shared" si="265"/>
        <v>22977146.640000001</v>
      </c>
      <c r="N18" s="15">
        <f t="shared" si="265"/>
        <v>8920980.0800000001</v>
      </c>
      <c r="O18" s="15">
        <f t="shared" si="265"/>
        <v>24436819.460000001</v>
      </c>
      <c r="P18" s="15">
        <f t="shared" si="265"/>
        <v>216943481.23000002</v>
      </c>
      <c r="Q18" s="15">
        <f t="shared" ref="Q18" si="266">(Q10-Q17)</f>
        <v>14229649.699999999</v>
      </c>
      <c r="R18" s="15">
        <f t="shared" ref="R18" si="267">(R10-R17)</f>
        <v>14873559.5</v>
      </c>
      <c r="S18" s="15">
        <f t="shared" ref="S18" si="268">(S10-S17)</f>
        <v>4697198.5199999996</v>
      </c>
      <c r="T18" s="15">
        <f t="shared" ref="T18" si="269">(T10-T17)</f>
        <v>8365402.9800000004</v>
      </c>
      <c r="U18" s="15">
        <f t="shared" ref="U18" si="270">(U10-U17)</f>
        <v>8816570.9600000009</v>
      </c>
      <c r="V18" s="15">
        <f t="shared" ref="V18" si="271">(V10-V17)</f>
        <v>20092854.34</v>
      </c>
      <c r="W18" s="15">
        <f t="shared" ref="W18" si="272">(W10-W17)</f>
        <v>7337695.5800000001</v>
      </c>
      <c r="X18" s="15">
        <f t="shared" ref="X18" si="273">(X10-X17)</f>
        <v>5742560.6999999993</v>
      </c>
      <c r="Y18" s="15">
        <f t="shared" ref="Y18" si="274">(Y10-Y17)</f>
        <v>27824940.300000001</v>
      </c>
      <c r="Z18" s="15">
        <f t="shared" ref="Z18" si="275">(Z10-Z17)</f>
        <v>27500046.18</v>
      </c>
      <c r="AA18" s="15">
        <f t="shared" ref="AA18" si="276">(AA10-AA17)</f>
        <v>16548423.920000002</v>
      </c>
      <c r="AB18" s="15">
        <f t="shared" ref="AB18" si="277">(AB10-AB17)</f>
        <v>9543361.8599999994</v>
      </c>
      <c r="AC18" s="15">
        <f t="shared" ref="AC18" si="278">(AC10-AC17)</f>
        <v>165572264.53999999</v>
      </c>
      <c r="AD18" s="15">
        <f t="shared" ref="AD18" si="279">(AD10-AD17)</f>
        <v>34237359.25</v>
      </c>
      <c r="AE18" s="15">
        <f t="shared" ref="AE18" si="280">(AE10-AE17)</f>
        <v>13273356.359999999</v>
      </c>
      <c r="AF18" s="15">
        <f t="shared" ref="AF18" si="281">(AF10-AF17)</f>
        <v>25454961.379999999</v>
      </c>
      <c r="AG18" s="15">
        <f t="shared" ref="AG18" si="282">(AG10-AG17)</f>
        <v>23707032</v>
      </c>
      <c r="AH18" s="15">
        <f t="shared" ref="AH18" si="283">(AH10-AH17)</f>
        <v>5781423.7599999998</v>
      </c>
      <c r="AI18" s="15">
        <f t="shared" ref="AI18" si="284">(AI10-AI17)</f>
        <v>25830357.32</v>
      </c>
      <c r="AJ18" s="15">
        <f t="shared" ref="AJ18" si="285">(AJ10-AJ17)</f>
        <v>11827280.880000001</v>
      </c>
      <c r="AK18" s="15">
        <f t="shared" ref="AK18" si="286">(AK10-AK17)</f>
        <v>20582343.100000001</v>
      </c>
      <c r="AL18" s="15">
        <f t="shared" ref="AL18" si="287">(AL10-AL17)</f>
        <v>8511731.3399999999</v>
      </c>
      <c r="AM18" s="15">
        <f t="shared" ref="AM18" si="288">(AM10-AM17)</f>
        <v>7161659.9199999999</v>
      </c>
      <c r="AN18" s="15">
        <f t="shared" ref="AN18" si="289">(AN10-AN17)</f>
        <v>7655215.9399999995</v>
      </c>
      <c r="AO18" s="15">
        <f t="shared" ref="AO18" si="290">(AO10-AO17)</f>
        <v>10187787.02</v>
      </c>
      <c r="AP18" s="15">
        <f t="shared" ref="AP18" si="291">(AP10-AP17)</f>
        <v>194210508.27000001</v>
      </c>
      <c r="AQ18" s="15">
        <f t="shared" ref="AQ18" si="292">(AQ10-AQ17)</f>
        <v>21756887.550000001</v>
      </c>
      <c r="AR18" s="15">
        <f t="shared" ref="AR18" si="293">(AR10-AR17)</f>
        <v>19225777.02</v>
      </c>
      <c r="AS18" s="15">
        <f t="shared" ref="AS18" si="294">(AS10-AS17)</f>
        <v>17849336.52</v>
      </c>
      <c r="AT18" s="15">
        <f t="shared" ref="AT18" si="295">(AT10-AT17)</f>
        <v>9325335.8200000003</v>
      </c>
      <c r="AU18" s="15">
        <f t="shared" ref="AU18" si="296">(AU10-AU17)</f>
        <v>10057883.92</v>
      </c>
      <c r="AV18" s="15">
        <f t="shared" ref="AV18" si="297">(AV10-AV17)</f>
        <v>15499703.34</v>
      </c>
      <c r="AW18" s="15">
        <f t="shared" ref="AW18" si="298">(AW10-AW17)</f>
        <v>27102231.800000001</v>
      </c>
      <c r="AX18" s="15">
        <f t="shared" ref="AX18" si="299">(AX10-AX17)</f>
        <v>25940354.759999998</v>
      </c>
      <c r="AY18" s="15">
        <f t="shared" ref="AY18" si="300">(AY10-AY17)</f>
        <v>7714168.6600000001</v>
      </c>
      <c r="AZ18" s="15">
        <f t="shared" ref="AZ18" si="301">(AZ10-AZ17)</f>
        <v>11898171.620000001</v>
      </c>
      <c r="BA18" s="15">
        <f t="shared" ref="BA18" si="302">(BA10-BA17)</f>
        <v>18368348.699999999</v>
      </c>
      <c r="BB18" s="15">
        <f t="shared" ref="BB18" si="303">(BB10-BB17)</f>
        <v>28947287.719999999</v>
      </c>
      <c r="BC18" s="15">
        <f t="shared" ref="BC18" si="304">(BC10-BC17)</f>
        <v>213685487.43000001</v>
      </c>
      <c r="BD18" s="15">
        <f t="shared" ref="BD18" si="305">(BD10-BD17)</f>
        <v>20517684.5</v>
      </c>
      <c r="BE18" s="15">
        <f t="shared" ref="BE18" si="306">(BE10-BE17)</f>
        <v>17685416.060000002</v>
      </c>
      <c r="BF18" s="15">
        <f t="shared" ref="BF18" si="307">(BF10-BF17)</f>
        <v>19672206.199999999</v>
      </c>
      <c r="BG18" s="15">
        <f t="shared" ref="BG18" si="308">(BG10-BG17)</f>
        <v>14136194.960000001</v>
      </c>
      <c r="BH18" s="15">
        <f t="shared" ref="BH18" si="309">(BH10-BH17)</f>
        <v>21397364.859999999</v>
      </c>
      <c r="BI18" s="15">
        <f t="shared" ref="BI18" si="310">(BI10-BI17)</f>
        <v>16447334.460000001</v>
      </c>
      <c r="BJ18" s="15">
        <f t="shared" ref="BJ18" si="311">(BJ10-BJ17)</f>
        <v>19009215.960000001</v>
      </c>
      <c r="BK18" s="15">
        <f t="shared" ref="BK18" si="312">(BK10-BK17)</f>
        <v>9509016.9800000004</v>
      </c>
      <c r="BL18" s="15">
        <f t="shared" ref="BL18" si="313">(BL10-BL17)</f>
        <v>23775188.68</v>
      </c>
      <c r="BM18" s="15">
        <f t="shared" ref="BM18" si="314">(BM10-BM17)</f>
        <v>24850819.759999998</v>
      </c>
      <c r="BN18" s="15">
        <f t="shared" ref="BN18" si="315">(BN10-BN17)</f>
        <v>10580853.42</v>
      </c>
      <c r="BO18" s="15">
        <f t="shared" ref="BO18" si="316">(BO10-BO17)</f>
        <v>28768169.98</v>
      </c>
      <c r="BP18" s="15">
        <f t="shared" ref="BP18" si="317">(BP10-BP17)</f>
        <v>226349465.81999999</v>
      </c>
      <c r="BQ18" s="15">
        <f t="shared" ref="BQ18" si="318">(BQ10-BQ17)</f>
        <v>6322105.0500000007</v>
      </c>
      <c r="BR18" s="15">
        <f t="shared" ref="BR18" si="319">(BR10-BR17)</f>
        <v>24271194.199999999</v>
      </c>
      <c r="BS18" s="15">
        <f t="shared" ref="BS18" si="320">(BS10-BS17)</f>
        <v>18293875.759999998</v>
      </c>
      <c r="BT18" s="15">
        <f t="shared" ref="BT18" si="321">(BT10-BT17)</f>
        <v>16659594.280000001</v>
      </c>
      <c r="BU18" s="15">
        <f t="shared" ref="BU18" si="322">(BU10-BU17)</f>
        <v>24705765.5</v>
      </c>
      <c r="BV18" s="15">
        <f t="shared" ref="BV18" si="323">(BV10-BV17)</f>
        <v>17490001.140000001</v>
      </c>
      <c r="BW18" s="15">
        <f t="shared" ref="BW18" si="324">(BW10-BW17)</f>
        <v>12635698.6</v>
      </c>
      <c r="BX18" s="15">
        <f t="shared" ref="BX18" si="325">(BX10-BX17)</f>
        <v>18679363.039999999</v>
      </c>
      <c r="BY18" s="15">
        <f t="shared" ref="BY18" si="326">(BY10-BY17)</f>
        <v>21549964.52</v>
      </c>
      <c r="BZ18" s="15">
        <f t="shared" ref="BZ18" si="327">(BZ10-BZ17)</f>
        <v>27226429.98</v>
      </c>
      <c r="CA18" s="15">
        <f t="shared" ref="CA18" si="328">(CA10-CA17)</f>
        <v>11182459.18</v>
      </c>
      <c r="CB18" s="15">
        <f t="shared" ref="CB18" si="329">(CB10-CB17)</f>
        <v>22409573.52</v>
      </c>
      <c r="CC18" s="15">
        <f t="shared" ref="CC18" si="330">(CC10-CC17)</f>
        <v>221426024.77000001</v>
      </c>
      <c r="CD18" s="15">
        <f t="shared" ref="CD18" si="331">(CD10-CD17)</f>
        <v>11326049.5</v>
      </c>
      <c r="CE18" s="15">
        <f t="shared" ref="CE18" si="332">(CE10-CE17)</f>
        <v>10875057.76</v>
      </c>
      <c r="CF18" s="15">
        <f t="shared" ref="CF18" si="333">(CF10-CF17)</f>
        <v>13132473.539999999</v>
      </c>
      <c r="CG18" s="15">
        <f t="shared" ref="CG18" si="334">(CG10-CG17)</f>
        <v>6177994.4400000013</v>
      </c>
      <c r="CH18" s="15">
        <f t="shared" ref="CH18" si="335">(CH10-CH17)</f>
        <v>14853300.579999998</v>
      </c>
      <c r="CI18" s="15">
        <f t="shared" ref="CI18" si="336">(CI10-CI17)</f>
        <v>27596476.699999999</v>
      </c>
      <c r="CJ18" s="15">
        <f t="shared" ref="CJ18" si="337">(CJ10-CJ17)</f>
        <v>14998494.740000002</v>
      </c>
      <c r="CK18" s="15">
        <f t="shared" ref="CK18" si="338">(CK10-CK17)</f>
        <v>21651193.960000001</v>
      </c>
      <c r="CL18" s="15">
        <f t="shared" ref="CL18" si="339">(CL10-CL17)</f>
        <v>5079140.9800000004</v>
      </c>
      <c r="CM18" s="15">
        <f t="shared" ref="CM18" si="340">(CM10-CM17)</f>
        <v>20968647.18</v>
      </c>
      <c r="CN18" s="15">
        <f t="shared" ref="CN18" si="341">(CN10-CN17)</f>
        <v>23693694.600000001</v>
      </c>
      <c r="CO18" s="15">
        <f t="shared" ref="CO18" si="342">(CO10-CO17)</f>
        <v>27753430.060000002</v>
      </c>
      <c r="CP18" s="15">
        <f t="shared" ref="CP18" si="343">(CP10-CP17)</f>
        <v>198105954.04000002</v>
      </c>
      <c r="CQ18" s="15">
        <f t="shared" ref="CQ18" si="344">(CQ10-CQ17)</f>
        <v>16133894.649999999</v>
      </c>
      <c r="CR18" s="15">
        <f t="shared" ref="CR18" si="345">(CR10-CR17)</f>
        <v>21176617.640000001</v>
      </c>
      <c r="CS18" s="15">
        <f t="shared" ref="CS18" si="346">(CS10-CS17)</f>
        <v>20495428.940000001</v>
      </c>
      <c r="CT18" s="15">
        <f t="shared" ref="CT18" si="347">(CT10-CT17)</f>
        <v>26653036.579999998</v>
      </c>
      <c r="CU18" s="15">
        <f t="shared" ref="CU18" si="348">(CU10-CU17)</f>
        <v>12269695.960000001</v>
      </c>
      <c r="CV18" s="15">
        <f t="shared" ref="CV18" si="349">(CV10-CV17)</f>
        <v>9693867.9800000004</v>
      </c>
      <c r="CW18" s="15">
        <f t="shared" ref="CW18" si="350">(CW10-CW17)</f>
        <v>6644294.7599999998</v>
      </c>
      <c r="CX18" s="15">
        <f t="shared" ref="CX18" si="351">(CX10-CX17)</f>
        <v>9403893.2400000002</v>
      </c>
      <c r="CY18" s="15">
        <f t="shared" ref="CY18" si="352">(CY10-CY17)</f>
        <v>15155269.560000002</v>
      </c>
      <c r="CZ18" s="15">
        <f t="shared" ref="CZ18" si="353">(CZ10-CZ17)</f>
        <v>22888881.5</v>
      </c>
      <c r="DA18" s="15">
        <f t="shared" ref="DA18" si="354">(DA10-DA17)</f>
        <v>6194358.0999999996</v>
      </c>
      <c r="DB18" s="15">
        <f t="shared" ref="DB18" si="355">(DB10-DB17)</f>
        <v>6864057.9399999995</v>
      </c>
      <c r="DC18" s="15">
        <f t="shared" ref="DC18" si="356">(DC10-DC17)</f>
        <v>173573296.84999999</v>
      </c>
      <c r="DD18" s="15">
        <f t="shared" ref="DD18" si="357">(DD10-DD17)</f>
        <v>18251952.199999999</v>
      </c>
      <c r="DE18" s="15">
        <f t="shared" ref="DE18" si="358">(DE10-DE17)</f>
        <v>12464001.380000001</v>
      </c>
      <c r="DF18" s="15">
        <f t="shared" ref="DF18" si="359">(DF10-DF17)</f>
        <v>21625144.079999998</v>
      </c>
      <c r="DG18" s="15">
        <f t="shared" ref="DG18" si="360">(DG10-DG17)</f>
        <v>12605222.699999999</v>
      </c>
      <c r="DH18" s="15">
        <f t="shared" ref="DH18" si="361">(DH10-DH17)</f>
        <v>21041256.879999999</v>
      </c>
      <c r="DI18" s="15">
        <f t="shared" ref="DI18" si="362">(DI10-DI17)</f>
        <v>28898613.48</v>
      </c>
      <c r="DJ18" s="15">
        <f t="shared" ref="DJ18" si="363">(DJ10-DJ17)</f>
        <v>23066090.740000002</v>
      </c>
      <c r="DK18" s="15">
        <f t="shared" ref="DK18" si="364">(DK10-DK17)</f>
        <v>22462811.68</v>
      </c>
      <c r="DL18" s="15">
        <f t="shared" ref="DL18" si="365">(DL10-DL17)</f>
        <v>9032490.4399999995</v>
      </c>
      <c r="DM18" s="15">
        <f t="shared" ref="DM18" si="366">(DM10-DM17)</f>
        <v>10880390.84</v>
      </c>
      <c r="DN18" s="15">
        <f t="shared" ref="DN18" si="367">(DN10-DN17)</f>
        <v>12176331.439999999</v>
      </c>
      <c r="DO18" s="15">
        <f t="shared" ref="DO18" si="368">(DO10-DO17)</f>
        <v>26081438.079999998</v>
      </c>
      <c r="DP18" s="15">
        <f t="shared" ref="DP18" si="369">(DP10-DP17)</f>
        <v>218585743.94</v>
      </c>
      <c r="DQ18" s="15">
        <f t="shared" ref="DQ18" si="370">(DQ10-DQ17)</f>
        <v>8787253.5500000007</v>
      </c>
      <c r="DR18" s="15">
        <f t="shared" ref="DR18" si="371">(DR10-DR17)</f>
        <v>11311618.780000001</v>
      </c>
      <c r="DS18" s="15">
        <f t="shared" ref="DS18" si="372">(DS10-DS17)</f>
        <v>10922565.640000001</v>
      </c>
      <c r="DT18" s="15">
        <f t="shared" ref="DT18" si="373">(DT10-DT17)</f>
        <v>22155007.120000001</v>
      </c>
      <c r="DU18" s="15">
        <f t="shared" ref="DU18" si="374">(DU10-DU17)</f>
        <v>14383249.719999999</v>
      </c>
      <c r="DV18" s="15">
        <f t="shared" ref="DV18" si="375">(DV10-DV17)</f>
        <v>5159660</v>
      </c>
      <c r="DW18" s="15">
        <f t="shared" ref="DW18" si="376">(DW10-DW17)</f>
        <v>17802945.859999999</v>
      </c>
      <c r="DX18" s="15">
        <f t="shared" ref="DX18" si="377">(DX10-DX17)</f>
        <v>19703419.740000002</v>
      </c>
      <c r="DY18" s="15">
        <f t="shared" ref="DY18" si="378">(DY10-DY17)</f>
        <v>26485737.140000001</v>
      </c>
      <c r="DZ18" s="15">
        <f t="shared" ref="DZ18" si="379">(DZ10-DZ17)</f>
        <v>9539091.0800000001</v>
      </c>
      <c r="EA18" s="15">
        <f t="shared" ref="EA18" si="380">(EA10-EA17)</f>
        <v>15794341.800000001</v>
      </c>
      <c r="EB18" s="15">
        <f t="shared" ref="EB18" si="381">(EB10-EB17)</f>
        <v>21962489</v>
      </c>
      <c r="EC18" s="15">
        <f t="shared" ref="EC18" si="382">(EC10-EC17)</f>
        <v>184007379.43000001</v>
      </c>
      <c r="ED18" s="15">
        <f t="shared" ref="ED18" si="383">(ED10-ED17)</f>
        <v>16740620.350000001</v>
      </c>
      <c r="EE18" s="15">
        <f t="shared" ref="EE18" si="384">(EE10-EE17)</f>
        <v>8870089.4800000004</v>
      </c>
      <c r="EF18" s="15">
        <f t="shared" ref="EF18" si="385">(EF10-EF17)</f>
        <v>24474425.379999999</v>
      </c>
      <c r="EG18" s="15">
        <f t="shared" ref="EG18" si="386">(EG10-EG17)</f>
        <v>17216156.82</v>
      </c>
      <c r="EH18" s="15">
        <f t="shared" ref="EH18" si="387">(EH10-EH17)</f>
        <v>13141596.16</v>
      </c>
      <c r="EI18" s="15">
        <f t="shared" ref="EI18" si="388">(EI10-EI17)</f>
        <v>28831244.379999999</v>
      </c>
      <c r="EJ18" s="15">
        <f t="shared" ref="EJ18" si="389">(EJ10-EJ17)</f>
        <v>29256298.300000001</v>
      </c>
      <c r="EK18" s="15">
        <f t="shared" ref="EK18" si="390">(EK10-EK17)</f>
        <v>7375198.6999999993</v>
      </c>
      <c r="EL18" s="15">
        <f t="shared" ref="EL18" si="391">(EL10-EL17)</f>
        <v>11686653.359999999</v>
      </c>
      <c r="EM18" s="15">
        <f t="shared" ref="EM18" si="392">(EM10-EM17)</f>
        <v>23935439.98</v>
      </c>
      <c r="EN18" s="15">
        <f t="shared" ref="EN18" si="393">(EN10-EN17)</f>
        <v>20943156.640000001</v>
      </c>
      <c r="EO18" s="15">
        <f t="shared" ref="EO18" si="394">(EO10-EO17)</f>
        <v>14444445.920000002</v>
      </c>
      <c r="EP18" s="15">
        <f t="shared" ref="EP18" si="395">(EP10-EP17)</f>
        <v>216915325.47</v>
      </c>
    </row>
    <row r="19" spans="3:147" x14ac:dyDescent="0.3">
      <c r="C19" s="2" t="s">
        <v>511</v>
      </c>
      <c r="D19" s="2">
        <v>59024</v>
      </c>
      <c r="E19" s="2">
        <v>79551</v>
      </c>
      <c r="F19" s="2">
        <v>72690</v>
      </c>
      <c r="G19" s="2">
        <v>51442</v>
      </c>
      <c r="H19" s="2">
        <v>53559</v>
      </c>
      <c r="I19" s="2">
        <v>64424</v>
      </c>
      <c r="J19" s="2">
        <v>66939</v>
      </c>
      <c r="K19" s="2">
        <v>57680</v>
      </c>
      <c r="L19" s="2">
        <v>79652</v>
      </c>
      <c r="M19" s="2">
        <v>88207</v>
      </c>
      <c r="N19" s="2">
        <v>65866</v>
      </c>
      <c r="O19" s="2">
        <v>65689</v>
      </c>
      <c r="P19" s="8">
        <v>804723</v>
      </c>
      <c r="Q19" s="2">
        <v>88790</v>
      </c>
      <c r="R19" s="2">
        <v>88484</v>
      </c>
      <c r="S19" s="2">
        <v>83910</v>
      </c>
      <c r="T19" s="2">
        <v>77388</v>
      </c>
      <c r="U19" s="2">
        <v>60950</v>
      </c>
      <c r="V19" s="2">
        <v>70361</v>
      </c>
      <c r="W19" s="2">
        <v>51752</v>
      </c>
      <c r="X19" s="2">
        <v>83640</v>
      </c>
      <c r="Y19" s="2">
        <v>51461</v>
      </c>
      <c r="Z19" s="2">
        <v>84814</v>
      </c>
      <c r="AA19" s="2">
        <v>77942</v>
      </c>
      <c r="AB19" s="2">
        <v>52411</v>
      </c>
      <c r="AC19" s="8">
        <v>871903</v>
      </c>
      <c r="AD19" s="2">
        <v>70622</v>
      </c>
      <c r="AE19" s="2">
        <v>57133</v>
      </c>
      <c r="AF19" s="2">
        <v>75776</v>
      </c>
      <c r="AG19" s="2">
        <v>57056</v>
      </c>
      <c r="AH19" s="2">
        <v>88661</v>
      </c>
      <c r="AI19" s="2">
        <v>58525</v>
      </c>
      <c r="AJ19" s="31">
        <v>57498</v>
      </c>
      <c r="AK19" s="31">
        <v>76640</v>
      </c>
      <c r="AL19" s="31">
        <v>78833</v>
      </c>
      <c r="AM19" s="31">
        <v>65160</v>
      </c>
      <c r="AN19" s="31">
        <v>60121</v>
      </c>
      <c r="AO19" s="31">
        <v>71036</v>
      </c>
      <c r="AP19" s="32">
        <v>817061</v>
      </c>
      <c r="AQ19" s="31">
        <v>51335</v>
      </c>
      <c r="AR19" s="31">
        <v>65407</v>
      </c>
      <c r="AS19" s="31">
        <v>58244</v>
      </c>
      <c r="AT19" s="31">
        <v>61552</v>
      </c>
      <c r="AU19" s="31">
        <v>70923</v>
      </c>
      <c r="AV19" s="31">
        <v>81821</v>
      </c>
      <c r="AW19" s="31">
        <v>83099</v>
      </c>
      <c r="AX19" s="31">
        <v>65486</v>
      </c>
      <c r="AY19" s="31">
        <v>77553</v>
      </c>
      <c r="AZ19" s="31">
        <v>71399</v>
      </c>
      <c r="BA19" s="31">
        <v>71041</v>
      </c>
      <c r="BB19" s="31">
        <v>50819</v>
      </c>
      <c r="BC19" s="32">
        <v>808679</v>
      </c>
      <c r="BD19" s="31">
        <v>50566</v>
      </c>
      <c r="BE19" s="31">
        <v>56101</v>
      </c>
      <c r="BF19" s="31">
        <v>52976</v>
      </c>
      <c r="BG19" s="31">
        <v>60952</v>
      </c>
      <c r="BH19" s="31">
        <v>57783</v>
      </c>
      <c r="BI19" s="31">
        <v>59822</v>
      </c>
      <c r="BJ19" s="31">
        <v>51255</v>
      </c>
      <c r="BK19" s="31">
        <v>64016</v>
      </c>
      <c r="BL19" s="31">
        <v>87423</v>
      </c>
      <c r="BM19" s="31">
        <v>71807</v>
      </c>
      <c r="BN19" s="31">
        <v>70780</v>
      </c>
      <c r="BO19" s="31">
        <v>58568</v>
      </c>
      <c r="BP19" s="32">
        <v>742049</v>
      </c>
      <c r="BQ19" s="31">
        <v>55098</v>
      </c>
      <c r="BR19" s="31">
        <v>55708</v>
      </c>
      <c r="BS19" s="31">
        <v>66895</v>
      </c>
      <c r="BT19" s="31">
        <v>81073</v>
      </c>
      <c r="BU19" s="31">
        <v>60766</v>
      </c>
      <c r="BV19" s="31">
        <v>87764</v>
      </c>
      <c r="BW19" s="31">
        <v>86891</v>
      </c>
      <c r="BX19" s="31">
        <v>51861</v>
      </c>
      <c r="BY19" s="31">
        <v>81927</v>
      </c>
      <c r="BZ19" s="31">
        <v>63720</v>
      </c>
      <c r="CA19" s="31">
        <v>81009</v>
      </c>
      <c r="CB19" s="31">
        <v>76775</v>
      </c>
      <c r="CC19" s="32">
        <v>849487</v>
      </c>
      <c r="CD19" s="31">
        <v>84326</v>
      </c>
      <c r="CE19" s="31">
        <v>68114</v>
      </c>
      <c r="CF19" s="31">
        <v>54866</v>
      </c>
      <c r="CG19" s="31">
        <v>71155</v>
      </c>
      <c r="CH19" s="31">
        <v>85918</v>
      </c>
      <c r="CI19" s="31">
        <v>82061</v>
      </c>
      <c r="CJ19" s="31">
        <v>77815</v>
      </c>
      <c r="CK19" s="31">
        <v>75572</v>
      </c>
      <c r="CL19" s="31">
        <v>61838</v>
      </c>
      <c r="CM19" s="31">
        <v>85827</v>
      </c>
      <c r="CN19" s="31">
        <v>83054</v>
      </c>
      <c r="CO19" s="31">
        <v>72323</v>
      </c>
      <c r="CP19" s="32">
        <v>902869</v>
      </c>
      <c r="CQ19" s="31">
        <v>60292</v>
      </c>
      <c r="CR19" s="31">
        <v>78453</v>
      </c>
      <c r="CS19" s="31">
        <v>87171</v>
      </c>
      <c r="CT19" s="31">
        <v>71882</v>
      </c>
      <c r="CU19" s="31">
        <v>76733</v>
      </c>
      <c r="CV19" s="31">
        <v>70950</v>
      </c>
      <c r="CW19" s="31">
        <v>79663</v>
      </c>
      <c r="CX19" s="31">
        <v>54820</v>
      </c>
      <c r="CY19" s="31">
        <v>71036</v>
      </c>
      <c r="CZ19" s="31">
        <v>67033</v>
      </c>
      <c r="DA19" s="31">
        <v>88062</v>
      </c>
      <c r="DB19" s="31">
        <v>70706</v>
      </c>
      <c r="DC19" s="32">
        <v>876801</v>
      </c>
      <c r="DD19" s="31">
        <v>52032</v>
      </c>
      <c r="DE19" s="31">
        <v>67535</v>
      </c>
      <c r="DF19" s="31">
        <v>89106</v>
      </c>
      <c r="DG19" s="31">
        <v>87395</v>
      </c>
      <c r="DH19" s="31">
        <v>51167</v>
      </c>
      <c r="DI19" s="31">
        <v>86674</v>
      </c>
      <c r="DJ19" s="31">
        <v>68508</v>
      </c>
      <c r="DK19" s="31">
        <v>56357</v>
      </c>
      <c r="DL19" s="31">
        <v>60733</v>
      </c>
      <c r="DM19" s="31">
        <v>55639</v>
      </c>
      <c r="DN19" s="31">
        <v>75722</v>
      </c>
      <c r="DO19" s="31">
        <v>50871</v>
      </c>
      <c r="DP19" s="32">
        <v>801739</v>
      </c>
      <c r="DQ19" s="31">
        <v>87841</v>
      </c>
      <c r="DR19" s="31">
        <v>69687</v>
      </c>
      <c r="DS19" s="31">
        <v>80899</v>
      </c>
      <c r="DT19" s="31">
        <v>51946</v>
      </c>
      <c r="DU19" s="31">
        <v>63840</v>
      </c>
      <c r="DV19" s="31">
        <v>78585</v>
      </c>
      <c r="DW19" s="31">
        <v>83806</v>
      </c>
      <c r="DX19" s="31">
        <v>56083</v>
      </c>
      <c r="DY19" s="31">
        <v>70673</v>
      </c>
      <c r="DZ19" s="31">
        <v>70040</v>
      </c>
      <c r="EA19" s="31">
        <v>68854</v>
      </c>
      <c r="EB19" s="31">
        <v>74238</v>
      </c>
      <c r="EC19" s="32">
        <v>856492</v>
      </c>
      <c r="ED19" s="31">
        <v>89437</v>
      </c>
      <c r="EE19" s="31">
        <v>63441</v>
      </c>
      <c r="EF19" s="31">
        <v>86145</v>
      </c>
      <c r="EG19" s="31">
        <v>79427</v>
      </c>
      <c r="EH19" s="31">
        <v>69324</v>
      </c>
      <c r="EI19" s="31">
        <v>66714</v>
      </c>
      <c r="EJ19" s="31">
        <v>79232</v>
      </c>
      <c r="EK19" s="31">
        <v>51878</v>
      </c>
      <c r="EL19" s="31">
        <v>85046</v>
      </c>
      <c r="EM19" s="31">
        <v>79014</v>
      </c>
      <c r="EN19" s="31">
        <v>87950</v>
      </c>
      <c r="EO19" s="31">
        <v>78334</v>
      </c>
      <c r="EP19" s="32">
        <v>915942</v>
      </c>
    </row>
    <row r="20" spans="3:147" x14ac:dyDescent="0.3">
      <c r="C20" s="2" t="s">
        <v>512</v>
      </c>
      <c r="D20" s="2">
        <v>82093</v>
      </c>
      <c r="E20" s="2">
        <v>58934</v>
      </c>
      <c r="F20" s="2">
        <v>85067</v>
      </c>
      <c r="G20" s="2">
        <v>66349</v>
      </c>
      <c r="H20" s="2">
        <v>89845</v>
      </c>
      <c r="I20" s="2">
        <v>58588</v>
      </c>
      <c r="J20" s="2">
        <v>65169</v>
      </c>
      <c r="K20" s="2">
        <v>55154</v>
      </c>
      <c r="L20" s="2">
        <v>76406</v>
      </c>
      <c r="M20" s="2">
        <v>77212</v>
      </c>
      <c r="N20" s="2">
        <v>63464</v>
      </c>
      <c r="O20" s="2">
        <v>67189</v>
      </c>
      <c r="P20" s="8">
        <v>845470</v>
      </c>
      <c r="Q20" s="2">
        <v>58912</v>
      </c>
      <c r="R20" s="2">
        <v>81995</v>
      </c>
      <c r="S20" s="2">
        <v>68289</v>
      </c>
      <c r="T20" s="2">
        <v>74669</v>
      </c>
      <c r="U20" s="2">
        <v>86830</v>
      </c>
      <c r="V20" s="2">
        <v>76421</v>
      </c>
      <c r="W20" s="2">
        <v>80198</v>
      </c>
      <c r="X20" s="2">
        <v>78604</v>
      </c>
      <c r="Y20" s="2">
        <v>60361</v>
      </c>
      <c r="Z20" s="2">
        <v>88484</v>
      </c>
      <c r="AA20" s="2">
        <v>67751</v>
      </c>
      <c r="AB20" s="2">
        <v>67478</v>
      </c>
      <c r="AC20" s="8">
        <v>889992</v>
      </c>
      <c r="AD20" s="2">
        <v>54205</v>
      </c>
      <c r="AE20" s="2">
        <v>82483</v>
      </c>
      <c r="AF20" s="2">
        <v>88017</v>
      </c>
      <c r="AG20" s="2">
        <v>62603</v>
      </c>
      <c r="AH20" s="2">
        <v>76280</v>
      </c>
      <c r="AI20" s="2">
        <v>85263</v>
      </c>
      <c r="AJ20" s="31">
        <v>66458</v>
      </c>
      <c r="AK20" s="31">
        <v>60486</v>
      </c>
      <c r="AL20" s="31">
        <v>60036</v>
      </c>
      <c r="AM20" s="31">
        <v>68497</v>
      </c>
      <c r="AN20" s="31">
        <v>77153</v>
      </c>
      <c r="AO20" s="31">
        <v>76170</v>
      </c>
      <c r="AP20" s="32">
        <v>857651</v>
      </c>
      <c r="AQ20" s="31">
        <v>68590</v>
      </c>
      <c r="AR20" s="31">
        <v>61080</v>
      </c>
      <c r="AS20" s="31">
        <v>60852</v>
      </c>
      <c r="AT20" s="31">
        <v>77130</v>
      </c>
      <c r="AU20" s="31">
        <v>61703</v>
      </c>
      <c r="AV20" s="31">
        <v>72562</v>
      </c>
      <c r="AW20" s="31">
        <v>88367</v>
      </c>
      <c r="AX20" s="31">
        <v>61851</v>
      </c>
      <c r="AY20" s="31">
        <v>57607</v>
      </c>
      <c r="AZ20" s="31">
        <v>76966</v>
      </c>
      <c r="BA20" s="31">
        <v>54321</v>
      </c>
      <c r="BB20" s="31">
        <v>55282</v>
      </c>
      <c r="BC20" s="32">
        <v>796311</v>
      </c>
      <c r="BD20" s="31">
        <v>89069</v>
      </c>
      <c r="BE20" s="31">
        <v>69985</v>
      </c>
      <c r="BF20" s="31">
        <v>68156</v>
      </c>
      <c r="BG20" s="31">
        <v>78284</v>
      </c>
      <c r="BH20" s="31">
        <v>71377</v>
      </c>
      <c r="BI20" s="31">
        <v>82310</v>
      </c>
      <c r="BJ20" s="31">
        <v>58200</v>
      </c>
      <c r="BK20" s="31">
        <v>52017</v>
      </c>
      <c r="BL20" s="31">
        <v>88911</v>
      </c>
      <c r="BM20" s="31">
        <v>55724</v>
      </c>
      <c r="BN20" s="31">
        <v>67736</v>
      </c>
      <c r="BO20" s="31">
        <v>51038</v>
      </c>
      <c r="BP20" s="32">
        <v>832807</v>
      </c>
      <c r="BQ20" s="31">
        <v>51473</v>
      </c>
      <c r="BR20" s="31">
        <v>82549</v>
      </c>
      <c r="BS20" s="31">
        <v>83040</v>
      </c>
      <c r="BT20" s="31">
        <v>70078</v>
      </c>
      <c r="BU20" s="31">
        <v>58278</v>
      </c>
      <c r="BV20" s="31">
        <v>78862</v>
      </c>
      <c r="BW20" s="31">
        <v>84217</v>
      </c>
      <c r="BX20" s="31">
        <v>66137</v>
      </c>
      <c r="BY20" s="31">
        <v>60161</v>
      </c>
      <c r="BZ20" s="31">
        <v>74563</v>
      </c>
      <c r="CA20" s="31">
        <v>60685</v>
      </c>
      <c r="CB20" s="31">
        <v>78537</v>
      </c>
      <c r="CC20" s="32">
        <v>848580</v>
      </c>
      <c r="CD20" s="31">
        <v>75910</v>
      </c>
      <c r="CE20" s="31">
        <v>88218</v>
      </c>
      <c r="CF20" s="31">
        <v>85554</v>
      </c>
      <c r="CG20" s="31">
        <v>86257</v>
      </c>
      <c r="CH20" s="31">
        <v>82979</v>
      </c>
      <c r="CI20" s="31">
        <v>62263</v>
      </c>
      <c r="CJ20" s="31">
        <v>66919</v>
      </c>
      <c r="CK20" s="31">
        <v>86100</v>
      </c>
      <c r="CL20" s="31">
        <v>85287</v>
      </c>
      <c r="CM20" s="31">
        <v>56898</v>
      </c>
      <c r="CN20" s="31">
        <v>56128</v>
      </c>
      <c r="CO20" s="31">
        <v>59547</v>
      </c>
      <c r="CP20" s="32">
        <v>892060</v>
      </c>
      <c r="CQ20" s="31">
        <v>82975</v>
      </c>
      <c r="CR20" s="31">
        <v>75254</v>
      </c>
      <c r="CS20" s="31">
        <v>57751</v>
      </c>
      <c r="CT20" s="31">
        <v>60465</v>
      </c>
      <c r="CU20" s="31">
        <v>73658</v>
      </c>
      <c r="CV20" s="31">
        <v>58237</v>
      </c>
      <c r="CW20" s="31">
        <v>75069</v>
      </c>
      <c r="CX20" s="31">
        <v>68588</v>
      </c>
      <c r="CY20" s="31">
        <v>72235</v>
      </c>
      <c r="CZ20" s="31">
        <v>68916</v>
      </c>
      <c r="DA20" s="31">
        <v>82775</v>
      </c>
      <c r="DB20" s="31">
        <v>77269</v>
      </c>
      <c r="DC20" s="32">
        <v>853192</v>
      </c>
      <c r="DD20" s="31">
        <v>58936</v>
      </c>
      <c r="DE20" s="31">
        <v>85431</v>
      </c>
      <c r="DF20" s="31">
        <v>76227</v>
      </c>
      <c r="DG20" s="31">
        <v>77219</v>
      </c>
      <c r="DH20" s="31">
        <v>56266</v>
      </c>
      <c r="DI20" s="31">
        <v>78396</v>
      </c>
      <c r="DJ20" s="31">
        <v>67959</v>
      </c>
      <c r="DK20" s="31">
        <v>58899</v>
      </c>
      <c r="DL20" s="31">
        <v>89560</v>
      </c>
      <c r="DM20" s="31">
        <v>52517</v>
      </c>
      <c r="DN20" s="31">
        <v>86217</v>
      </c>
      <c r="DO20" s="31">
        <v>79633</v>
      </c>
      <c r="DP20" s="32">
        <v>867260</v>
      </c>
      <c r="DQ20" s="31">
        <v>74648</v>
      </c>
      <c r="DR20" s="31">
        <v>82205</v>
      </c>
      <c r="DS20" s="31">
        <v>80772</v>
      </c>
      <c r="DT20" s="31">
        <v>88361</v>
      </c>
      <c r="DU20" s="31">
        <v>55716</v>
      </c>
      <c r="DV20" s="31">
        <v>86558</v>
      </c>
      <c r="DW20" s="31">
        <v>57100</v>
      </c>
      <c r="DX20" s="31">
        <v>54156</v>
      </c>
      <c r="DY20" s="31">
        <v>82341</v>
      </c>
      <c r="DZ20" s="31">
        <v>74465</v>
      </c>
      <c r="EA20" s="31">
        <v>87094</v>
      </c>
      <c r="EB20" s="31">
        <v>62342</v>
      </c>
      <c r="EC20" s="32">
        <v>885758</v>
      </c>
      <c r="ED20" s="31">
        <v>50012</v>
      </c>
      <c r="EE20" s="31">
        <v>78304</v>
      </c>
      <c r="EF20" s="31">
        <v>80267</v>
      </c>
      <c r="EG20" s="31">
        <v>56386</v>
      </c>
      <c r="EH20" s="31">
        <v>57326</v>
      </c>
      <c r="EI20" s="31">
        <v>65399</v>
      </c>
      <c r="EJ20" s="31">
        <v>67273</v>
      </c>
      <c r="EK20" s="31">
        <v>80216</v>
      </c>
      <c r="EL20" s="31">
        <v>87494</v>
      </c>
      <c r="EM20" s="31">
        <v>73236</v>
      </c>
      <c r="EN20" s="31">
        <v>59709</v>
      </c>
      <c r="EO20" s="31">
        <v>58403</v>
      </c>
      <c r="EP20" s="32">
        <v>814025</v>
      </c>
    </row>
    <row r="21" spans="3:147" x14ac:dyDescent="0.3">
      <c r="C21" s="2" t="s">
        <v>513</v>
      </c>
      <c r="D21" s="15">
        <f>(D18-D19-D20)</f>
        <v>28990211.75</v>
      </c>
      <c r="E21" s="15">
        <f t="shared" ref="E21:P21" si="396">(E18-E19-E20)</f>
        <v>28623491.32</v>
      </c>
      <c r="F21" s="15">
        <f t="shared" si="396"/>
        <v>8610150.6799999997</v>
      </c>
      <c r="G21" s="15">
        <f t="shared" si="396"/>
        <v>25245563.98</v>
      </c>
      <c r="H21" s="15">
        <f t="shared" si="396"/>
        <v>21885536.16</v>
      </c>
      <c r="I21" s="15">
        <f t="shared" si="396"/>
        <v>10348205.039999999</v>
      </c>
      <c r="J21" s="15">
        <f t="shared" si="396"/>
        <v>16586554.02</v>
      </c>
      <c r="K21" s="15">
        <f t="shared" si="396"/>
        <v>7605139.2599999998</v>
      </c>
      <c r="L21" s="15">
        <f t="shared" si="396"/>
        <v>11491116.84</v>
      </c>
      <c r="M21" s="15">
        <f t="shared" si="396"/>
        <v>22811727.640000001</v>
      </c>
      <c r="N21" s="15">
        <f t="shared" si="396"/>
        <v>8791650.0800000001</v>
      </c>
      <c r="O21" s="15">
        <f t="shared" si="396"/>
        <v>24303941.460000001</v>
      </c>
      <c r="P21" s="15">
        <f t="shared" si="396"/>
        <v>215293288.23000002</v>
      </c>
      <c r="Q21" s="15">
        <f t="shared" ref="Q21" si="397">(Q18-Q19-Q20)</f>
        <v>14081947.699999999</v>
      </c>
      <c r="R21" s="15">
        <f t="shared" ref="R21" si="398">(R18-R19-R20)</f>
        <v>14703080.5</v>
      </c>
      <c r="S21" s="15">
        <f t="shared" ref="S21" si="399">(S18-S19-S20)</f>
        <v>4544999.5199999996</v>
      </c>
      <c r="T21" s="15">
        <f t="shared" ref="T21" si="400">(T18-T19-T20)</f>
        <v>8213345.9800000004</v>
      </c>
      <c r="U21" s="15">
        <f t="shared" ref="U21" si="401">(U18-U19-U20)</f>
        <v>8668790.9600000009</v>
      </c>
      <c r="V21" s="15">
        <f t="shared" ref="V21" si="402">(V18-V19-V20)</f>
        <v>19946072.34</v>
      </c>
      <c r="W21" s="15">
        <f t="shared" ref="W21" si="403">(W18-W19-W20)</f>
        <v>7205745.5800000001</v>
      </c>
      <c r="X21" s="15">
        <f t="shared" ref="X21" si="404">(X18-X19-X20)</f>
        <v>5580316.6999999993</v>
      </c>
      <c r="Y21" s="15">
        <f t="shared" ref="Y21" si="405">(Y18-Y19-Y20)</f>
        <v>27713118.300000001</v>
      </c>
      <c r="Z21" s="15">
        <f t="shared" ref="Z21" si="406">(Z18-Z19-Z20)</f>
        <v>27326748.18</v>
      </c>
      <c r="AA21" s="15">
        <f t="shared" ref="AA21" si="407">(AA18-AA19-AA20)</f>
        <v>16402730.920000002</v>
      </c>
      <c r="AB21" s="15">
        <f t="shared" ref="AB21" si="408">(AB18-AB19-AB20)</f>
        <v>9423472.8599999994</v>
      </c>
      <c r="AC21" s="15">
        <f t="shared" ref="AC21" si="409">(AC18-AC19-AC20)</f>
        <v>163810369.53999999</v>
      </c>
      <c r="AD21" s="15">
        <f t="shared" ref="AD21" si="410">(AD18-AD19-AD20)</f>
        <v>34112532.25</v>
      </c>
      <c r="AE21" s="15">
        <f t="shared" ref="AE21" si="411">(AE18-AE19-AE20)</f>
        <v>13133740.359999999</v>
      </c>
      <c r="AF21" s="15">
        <f t="shared" ref="AF21" si="412">(AF18-AF19-AF20)</f>
        <v>25291168.379999999</v>
      </c>
      <c r="AG21" s="15">
        <f t="shared" ref="AG21" si="413">(AG18-AG19-AG20)</f>
        <v>23587373</v>
      </c>
      <c r="AH21" s="15">
        <f t="shared" ref="AH21" si="414">(AH18-AH19-AH20)</f>
        <v>5616482.7599999998</v>
      </c>
      <c r="AI21" s="15">
        <f t="shared" ref="AI21" si="415">(AI18-AI19-AI20)</f>
        <v>25686569.32</v>
      </c>
      <c r="AJ21" s="15">
        <f t="shared" ref="AJ21" si="416">(AJ18-AJ19-AJ20)</f>
        <v>11703324.880000001</v>
      </c>
      <c r="AK21" s="15">
        <f t="shared" ref="AK21" si="417">(AK18-AK19-AK20)</f>
        <v>20445217.100000001</v>
      </c>
      <c r="AL21" s="15">
        <f t="shared" ref="AL21" si="418">(AL18-AL19-AL20)</f>
        <v>8372862.3399999999</v>
      </c>
      <c r="AM21" s="15">
        <f t="shared" ref="AM21" si="419">(AM18-AM19-AM20)</f>
        <v>7028002.9199999999</v>
      </c>
      <c r="AN21" s="15">
        <f t="shared" ref="AN21" si="420">(AN18-AN19-AN20)</f>
        <v>7517941.9399999995</v>
      </c>
      <c r="AO21" s="15">
        <f t="shared" ref="AO21" si="421">(AO18-AO19-AO20)</f>
        <v>10040581.02</v>
      </c>
      <c r="AP21" s="15">
        <f t="shared" ref="AP21" si="422">(AP18-AP19-AP20)</f>
        <v>192535796.27000001</v>
      </c>
      <c r="AQ21" s="15">
        <f t="shared" ref="AQ21" si="423">(AQ18-AQ19-AQ20)</f>
        <v>21636962.550000001</v>
      </c>
      <c r="AR21" s="15">
        <f t="shared" ref="AR21" si="424">(AR18-AR19-AR20)</f>
        <v>19099290.02</v>
      </c>
      <c r="AS21" s="15">
        <f t="shared" ref="AS21" si="425">(AS18-AS19-AS20)</f>
        <v>17730240.52</v>
      </c>
      <c r="AT21" s="15">
        <f t="shared" ref="AT21" si="426">(AT18-AT19-AT20)</f>
        <v>9186653.8200000003</v>
      </c>
      <c r="AU21" s="15">
        <f t="shared" ref="AU21" si="427">(AU18-AU19-AU20)</f>
        <v>9925257.9199999999</v>
      </c>
      <c r="AV21" s="15">
        <f t="shared" ref="AV21" si="428">(AV18-AV19-AV20)</f>
        <v>15345320.34</v>
      </c>
      <c r="AW21" s="15">
        <f t="shared" ref="AW21" si="429">(AW18-AW19-AW20)</f>
        <v>26930765.800000001</v>
      </c>
      <c r="AX21" s="15">
        <f t="shared" ref="AX21" si="430">(AX18-AX19-AX20)</f>
        <v>25813017.759999998</v>
      </c>
      <c r="AY21" s="15">
        <f t="shared" ref="AY21" si="431">(AY18-AY19-AY20)</f>
        <v>7579008.6600000001</v>
      </c>
      <c r="AZ21" s="15">
        <f t="shared" ref="AZ21" si="432">(AZ18-AZ19-AZ20)</f>
        <v>11749806.620000001</v>
      </c>
      <c r="BA21" s="15">
        <f t="shared" ref="BA21" si="433">(BA18-BA19-BA20)</f>
        <v>18242986.699999999</v>
      </c>
      <c r="BB21" s="15">
        <f t="shared" ref="BB21" si="434">(BB18-BB19-BB20)</f>
        <v>28841186.719999999</v>
      </c>
      <c r="BC21" s="15">
        <f t="shared" ref="BC21" si="435">(BC18-BC19-BC20)</f>
        <v>212080497.43000001</v>
      </c>
      <c r="BD21" s="15">
        <f t="shared" ref="BD21" si="436">(BD18-BD19-BD20)</f>
        <v>20378049.5</v>
      </c>
      <c r="BE21" s="15">
        <f t="shared" ref="BE21" si="437">(BE18-BE19-BE20)</f>
        <v>17559330.060000002</v>
      </c>
      <c r="BF21" s="15">
        <f t="shared" ref="BF21" si="438">(BF18-BF19-BF20)</f>
        <v>19551074.199999999</v>
      </c>
      <c r="BG21" s="15">
        <f t="shared" ref="BG21" si="439">(BG18-BG19-BG20)</f>
        <v>13996958.960000001</v>
      </c>
      <c r="BH21" s="15">
        <f t="shared" ref="BH21" si="440">(BH18-BH19-BH20)</f>
        <v>21268204.859999999</v>
      </c>
      <c r="BI21" s="15">
        <f t="shared" ref="BI21" si="441">(BI18-BI19-BI20)</f>
        <v>16305202.460000001</v>
      </c>
      <c r="BJ21" s="15">
        <f t="shared" ref="BJ21" si="442">(BJ18-BJ19-BJ20)</f>
        <v>18899760.960000001</v>
      </c>
      <c r="BK21" s="15">
        <f t="shared" ref="BK21" si="443">(BK18-BK19-BK20)</f>
        <v>9392983.9800000004</v>
      </c>
      <c r="BL21" s="15">
        <f t="shared" ref="BL21" si="444">(BL18-BL19-BL20)</f>
        <v>23598854.68</v>
      </c>
      <c r="BM21" s="15">
        <f t="shared" ref="BM21" si="445">(BM18-BM19-BM20)</f>
        <v>24723288.759999998</v>
      </c>
      <c r="BN21" s="15">
        <f t="shared" ref="BN21" si="446">(BN18-BN19-BN20)</f>
        <v>10442337.42</v>
      </c>
      <c r="BO21" s="15">
        <f t="shared" ref="BO21" si="447">(BO18-BO19-BO20)</f>
        <v>28658563.98</v>
      </c>
      <c r="BP21" s="15">
        <f t="shared" ref="BP21" si="448">(BP18-BP19-BP20)</f>
        <v>224774609.81999999</v>
      </c>
      <c r="BQ21" s="15">
        <f t="shared" ref="BQ21" si="449">(BQ18-BQ19-BQ20)</f>
        <v>6215534.0500000007</v>
      </c>
      <c r="BR21" s="15">
        <f t="shared" ref="BR21" si="450">(BR18-BR19-BR20)</f>
        <v>24132937.199999999</v>
      </c>
      <c r="BS21" s="15">
        <f t="shared" ref="BS21" si="451">(BS18-BS19-BS20)</f>
        <v>18143940.759999998</v>
      </c>
      <c r="BT21" s="15">
        <f t="shared" ref="BT21" si="452">(BT18-BT19-BT20)</f>
        <v>16508443.280000001</v>
      </c>
      <c r="BU21" s="15">
        <f t="shared" ref="BU21" si="453">(BU18-BU19-BU20)</f>
        <v>24586721.5</v>
      </c>
      <c r="BV21" s="15">
        <f t="shared" ref="BV21" si="454">(BV18-BV19-BV20)</f>
        <v>17323375.140000001</v>
      </c>
      <c r="BW21" s="15">
        <f t="shared" ref="BW21" si="455">(BW18-BW19-BW20)</f>
        <v>12464590.6</v>
      </c>
      <c r="BX21" s="15">
        <f t="shared" ref="BX21" si="456">(BX18-BX19-BX20)</f>
        <v>18561365.039999999</v>
      </c>
      <c r="BY21" s="15">
        <f t="shared" ref="BY21" si="457">(BY18-BY19-BY20)</f>
        <v>21407876.52</v>
      </c>
      <c r="BZ21" s="15">
        <f t="shared" ref="BZ21" si="458">(BZ18-BZ19-BZ20)</f>
        <v>27088146.98</v>
      </c>
      <c r="CA21" s="15">
        <f t="shared" ref="CA21" si="459">(CA18-CA19-CA20)</f>
        <v>11040765.18</v>
      </c>
      <c r="CB21" s="15">
        <f t="shared" ref="CB21" si="460">(CB18-CB19-CB20)</f>
        <v>22254261.52</v>
      </c>
      <c r="CC21" s="15">
        <f t="shared" ref="CC21" si="461">(CC18-CC19-CC20)</f>
        <v>219727957.77000001</v>
      </c>
      <c r="CD21" s="15">
        <f t="shared" ref="CD21" si="462">(CD18-CD19-CD20)</f>
        <v>11165813.5</v>
      </c>
      <c r="CE21" s="15">
        <f t="shared" ref="CE21" si="463">(CE18-CE19-CE20)</f>
        <v>10718725.76</v>
      </c>
      <c r="CF21" s="15">
        <f t="shared" ref="CF21" si="464">(CF18-CF19-CF20)</f>
        <v>12992053.539999999</v>
      </c>
      <c r="CG21" s="15">
        <f t="shared" ref="CG21" si="465">(CG18-CG19-CG20)</f>
        <v>6020582.4400000013</v>
      </c>
      <c r="CH21" s="15">
        <f t="shared" ref="CH21" si="466">(CH18-CH19-CH20)</f>
        <v>14684403.579999998</v>
      </c>
      <c r="CI21" s="15">
        <f t="shared" ref="CI21" si="467">(CI18-CI19-CI20)</f>
        <v>27452152.699999999</v>
      </c>
      <c r="CJ21" s="15">
        <f t="shared" ref="CJ21" si="468">(CJ18-CJ19-CJ20)</f>
        <v>14853760.740000002</v>
      </c>
      <c r="CK21" s="15">
        <f t="shared" ref="CK21" si="469">(CK18-CK19-CK20)</f>
        <v>21489521.960000001</v>
      </c>
      <c r="CL21" s="15">
        <f t="shared" ref="CL21" si="470">(CL18-CL19-CL20)</f>
        <v>4932015.9800000004</v>
      </c>
      <c r="CM21" s="15">
        <f t="shared" ref="CM21" si="471">(CM18-CM19-CM20)</f>
        <v>20825922.18</v>
      </c>
      <c r="CN21" s="15">
        <f t="shared" ref="CN21" si="472">(CN18-CN19-CN20)</f>
        <v>23554512.600000001</v>
      </c>
      <c r="CO21" s="15">
        <f t="shared" ref="CO21" si="473">(CO18-CO19-CO20)</f>
        <v>27621560.060000002</v>
      </c>
      <c r="CP21" s="15">
        <f t="shared" ref="CP21" si="474">(CP18-CP19-CP20)</f>
        <v>196311025.04000002</v>
      </c>
      <c r="CQ21" s="15">
        <f t="shared" ref="CQ21" si="475">(CQ18-CQ19-CQ20)</f>
        <v>15990627.649999999</v>
      </c>
      <c r="CR21" s="15">
        <f t="shared" ref="CR21" si="476">(CR18-CR19-CR20)</f>
        <v>21022910.640000001</v>
      </c>
      <c r="CS21" s="15">
        <f t="shared" ref="CS21" si="477">(CS18-CS19-CS20)</f>
        <v>20350506.940000001</v>
      </c>
      <c r="CT21" s="15">
        <f t="shared" ref="CT21" si="478">(CT18-CT19-CT20)</f>
        <v>26520689.579999998</v>
      </c>
      <c r="CU21" s="15">
        <f t="shared" ref="CU21" si="479">(CU18-CU19-CU20)</f>
        <v>12119304.960000001</v>
      </c>
      <c r="CV21" s="15">
        <f t="shared" ref="CV21" si="480">(CV18-CV19-CV20)</f>
        <v>9564680.9800000004</v>
      </c>
      <c r="CW21" s="15">
        <f t="shared" ref="CW21" si="481">(CW18-CW19-CW20)</f>
        <v>6489562.7599999998</v>
      </c>
      <c r="CX21" s="15">
        <f t="shared" ref="CX21" si="482">(CX18-CX19-CX20)</f>
        <v>9280485.2400000002</v>
      </c>
      <c r="CY21" s="15">
        <f t="shared" ref="CY21" si="483">(CY18-CY19-CY20)</f>
        <v>15011998.560000002</v>
      </c>
      <c r="CZ21" s="15">
        <f t="shared" ref="CZ21" si="484">(CZ18-CZ19-CZ20)</f>
        <v>22752932.5</v>
      </c>
      <c r="DA21" s="15">
        <f t="shared" ref="DA21" si="485">(DA18-DA19-DA20)</f>
        <v>6023521.0999999996</v>
      </c>
      <c r="DB21" s="15">
        <f t="shared" ref="DB21" si="486">(DB18-DB19-DB20)</f>
        <v>6716082.9399999995</v>
      </c>
      <c r="DC21" s="15">
        <f t="shared" ref="DC21" si="487">(DC18-DC19-DC20)</f>
        <v>171843303.84999999</v>
      </c>
      <c r="DD21" s="15">
        <f t="shared" ref="DD21" si="488">(DD18-DD19-DD20)</f>
        <v>18140984.199999999</v>
      </c>
      <c r="DE21" s="15">
        <f t="shared" ref="DE21" si="489">(DE18-DE19-DE20)</f>
        <v>12311035.380000001</v>
      </c>
      <c r="DF21" s="15">
        <f t="shared" ref="DF21" si="490">(DF18-DF19-DF20)</f>
        <v>21459811.079999998</v>
      </c>
      <c r="DG21" s="15">
        <f t="shared" ref="DG21" si="491">(DG18-DG19-DG20)</f>
        <v>12440608.699999999</v>
      </c>
      <c r="DH21" s="15">
        <f t="shared" ref="DH21" si="492">(DH18-DH19-DH20)</f>
        <v>20933823.879999999</v>
      </c>
      <c r="DI21" s="15">
        <f t="shared" ref="DI21" si="493">(DI18-DI19-DI20)</f>
        <v>28733543.48</v>
      </c>
      <c r="DJ21" s="15">
        <f t="shared" ref="DJ21" si="494">(DJ18-DJ19-DJ20)</f>
        <v>22929623.740000002</v>
      </c>
      <c r="DK21" s="15">
        <f t="shared" ref="DK21" si="495">(DK18-DK19-DK20)</f>
        <v>22347555.68</v>
      </c>
      <c r="DL21" s="15">
        <f t="shared" ref="DL21" si="496">(DL18-DL19-DL20)</f>
        <v>8882197.4399999995</v>
      </c>
      <c r="DM21" s="15">
        <f t="shared" ref="DM21" si="497">(DM18-DM19-DM20)</f>
        <v>10772234.84</v>
      </c>
      <c r="DN21" s="15">
        <f t="shared" ref="DN21" si="498">(DN18-DN19-DN20)</f>
        <v>12014392.439999999</v>
      </c>
      <c r="DO21" s="15">
        <f t="shared" ref="DO21" si="499">(DO18-DO19-DO20)</f>
        <v>25950934.079999998</v>
      </c>
      <c r="DP21" s="15">
        <f t="shared" ref="DP21" si="500">(DP18-DP19-DP20)</f>
        <v>216916744.94</v>
      </c>
      <c r="DQ21" s="15">
        <f t="shared" ref="DQ21" si="501">(DQ18-DQ19-DQ20)</f>
        <v>8624764.5500000007</v>
      </c>
      <c r="DR21" s="15">
        <f t="shared" ref="DR21" si="502">(DR18-DR19-DR20)</f>
        <v>11159726.780000001</v>
      </c>
      <c r="DS21" s="15">
        <f t="shared" ref="DS21" si="503">(DS18-DS19-DS20)</f>
        <v>10760894.640000001</v>
      </c>
      <c r="DT21" s="15">
        <f t="shared" ref="DT21" si="504">(DT18-DT19-DT20)</f>
        <v>22014700.120000001</v>
      </c>
      <c r="DU21" s="15">
        <f t="shared" ref="DU21" si="505">(DU18-DU19-DU20)</f>
        <v>14263693.719999999</v>
      </c>
      <c r="DV21" s="15">
        <f t="shared" ref="DV21" si="506">(DV18-DV19-DV20)</f>
        <v>4994517</v>
      </c>
      <c r="DW21" s="15">
        <f t="shared" ref="DW21" si="507">(DW18-DW19-DW20)</f>
        <v>17662039.859999999</v>
      </c>
      <c r="DX21" s="15">
        <f t="shared" ref="DX21" si="508">(DX18-DX19-DX20)</f>
        <v>19593180.740000002</v>
      </c>
      <c r="DY21" s="15">
        <f t="shared" ref="DY21" si="509">(DY18-DY19-DY20)</f>
        <v>26332723.140000001</v>
      </c>
      <c r="DZ21" s="15">
        <f t="shared" ref="DZ21" si="510">(DZ18-DZ19-DZ20)</f>
        <v>9394586.0800000001</v>
      </c>
      <c r="EA21" s="15">
        <f t="shared" ref="EA21" si="511">(EA18-EA19-EA20)</f>
        <v>15638393.800000001</v>
      </c>
      <c r="EB21" s="15">
        <f t="shared" ref="EB21" si="512">(EB18-EB19-EB20)</f>
        <v>21825909</v>
      </c>
      <c r="EC21" s="15">
        <f t="shared" ref="EC21" si="513">(EC18-EC19-EC20)</f>
        <v>182265129.43000001</v>
      </c>
      <c r="ED21" s="15">
        <f t="shared" ref="ED21" si="514">(ED18-ED19-ED20)</f>
        <v>16601171.350000001</v>
      </c>
      <c r="EE21" s="15">
        <f t="shared" ref="EE21" si="515">(EE18-EE19-EE20)</f>
        <v>8728344.4800000004</v>
      </c>
      <c r="EF21" s="15">
        <f t="shared" ref="EF21" si="516">(EF18-EF19-EF20)</f>
        <v>24308013.379999999</v>
      </c>
      <c r="EG21" s="15">
        <f t="shared" ref="EG21" si="517">(EG18-EG19-EG20)</f>
        <v>17080343.82</v>
      </c>
      <c r="EH21" s="15">
        <f t="shared" ref="EH21" si="518">(EH18-EH19-EH20)</f>
        <v>13014946.16</v>
      </c>
      <c r="EI21" s="15">
        <f t="shared" ref="EI21" si="519">(EI18-EI19-EI20)</f>
        <v>28699131.379999999</v>
      </c>
      <c r="EJ21" s="15">
        <f t="shared" ref="EJ21" si="520">(EJ18-EJ19-EJ20)</f>
        <v>29109793.300000001</v>
      </c>
      <c r="EK21" s="15">
        <f t="shared" ref="EK21" si="521">(EK18-EK19-EK20)</f>
        <v>7243104.6999999993</v>
      </c>
      <c r="EL21" s="15">
        <f t="shared" ref="EL21" si="522">(EL18-EL19-EL20)</f>
        <v>11514113.359999999</v>
      </c>
      <c r="EM21" s="15">
        <f t="shared" ref="EM21" si="523">(EM18-EM19-EM20)</f>
        <v>23783189.98</v>
      </c>
      <c r="EN21" s="15">
        <f t="shared" ref="EN21" si="524">(EN18-EN19-EN20)</f>
        <v>20795497.640000001</v>
      </c>
      <c r="EO21" s="15">
        <f t="shared" ref="EO21" si="525">(EO18-EO19-EO20)</f>
        <v>14307708.920000002</v>
      </c>
      <c r="EP21" s="15">
        <f t="shared" ref="EP21" si="526">(EP18-EP19-EP20)</f>
        <v>215185358.47</v>
      </c>
    </row>
    <row r="22" spans="3:147" x14ac:dyDescent="0.3">
      <c r="C22" s="2" t="s">
        <v>514</v>
      </c>
      <c r="D22" s="2">
        <v>11662</v>
      </c>
      <c r="E22" s="2">
        <v>12835</v>
      </c>
      <c r="F22" s="2">
        <v>13149</v>
      </c>
      <c r="G22" s="2">
        <v>18670</v>
      </c>
      <c r="H22" s="2">
        <v>19969</v>
      </c>
      <c r="I22" s="2">
        <v>11511</v>
      </c>
      <c r="J22" s="2">
        <v>15261</v>
      </c>
      <c r="K22" s="2">
        <v>10737</v>
      </c>
      <c r="L22" s="2">
        <v>11923</v>
      </c>
      <c r="M22" s="2">
        <v>14553</v>
      </c>
      <c r="N22" s="2">
        <v>19698</v>
      </c>
      <c r="O22" s="2">
        <v>14505</v>
      </c>
      <c r="P22" s="8">
        <v>174473</v>
      </c>
      <c r="Q22" s="2">
        <v>14424</v>
      </c>
      <c r="R22" s="2">
        <v>13727</v>
      </c>
      <c r="S22" s="2">
        <v>14133</v>
      </c>
      <c r="T22" s="2">
        <v>19267</v>
      </c>
      <c r="U22" s="2">
        <v>15289</v>
      </c>
      <c r="V22" s="2">
        <v>11038</v>
      </c>
      <c r="W22" s="2">
        <v>14911</v>
      </c>
      <c r="X22" s="2">
        <v>16323</v>
      </c>
      <c r="Y22" s="2">
        <v>12004</v>
      </c>
      <c r="Z22" s="2">
        <v>17081</v>
      </c>
      <c r="AA22" s="2">
        <v>16712</v>
      </c>
      <c r="AB22" s="2">
        <v>12806</v>
      </c>
      <c r="AC22" s="8">
        <v>177715</v>
      </c>
      <c r="AD22" s="2">
        <v>13279</v>
      </c>
      <c r="AE22" s="2">
        <v>10190</v>
      </c>
      <c r="AF22" s="2">
        <v>11835</v>
      </c>
      <c r="AG22" s="2">
        <v>19098</v>
      </c>
      <c r="AH22" s="2">
        <v>11398</v>
      </c>
      <c r="AI22" s="2">
        <v>11335</v>
      </c>
      <c r="AJ22" s="31">
        <v>14483</v>
      </c>
      <c r="AK22" s="31">
        <v>12086</v>
      </c>
      <c r="AL22" s="31">
        <v>11072</v>
      </c>
      <c r="AM22" s="31">
        <v>19258</v>
      </c>
      <c r="AN22" s="31">
        <v>12126</v>
      </c>
      <c r="AO22" s="31">
        <v>18830</v>
      </c>
      <c r="AP22" s="32">
        <v>164990</v>
      </c>
      <c r="AQ22" s="31">
        <v>17978</v>
      </c>
      <c r="AR22" s="31">
        <v>14098</v>
      </c>
      <c r="AS22" s="31">
        <v>12695</v>
      </c>
      <c r="AT22" s="31">
        <v>16845</v>
      </c>
      <c r="AU22" s="31">
        <v>11663</v>
      </c>
      <c r="AV22" s="31">
        <v>16769</v>
      </c>
      <c r="AW22" s="31">
        <v>14464</v>
      </c>
      <c r="AX22" s="31">
        <v>14834</v>
      </c>
      <c r="AY22" s="31">
        <v>10644</v>
      </c>
      <c r="AZ22" s="31">
        <v>15438</v>
      </c>
      <c r="BA22" s="31">
        <v>10305</v>
      </c>
      <c r="BB22" s="31">
        <v>11410</v>
      </c>
      <c r="BC22" s="32">
        <v>167143</v>
      </c>
      <c r="BD22" s="31">
        <v>19372</v>
      </c>
      <c r="BE22" s="31">
        <v>14757</v>
      </c>
      <c r="BF22" s="31">
        <v>13872</v>
      </c>
      <c r="BG22" s="31">
        <v>14471</v>
      </c>
      <c r="BH22" s="31">
        <v>17705</v>
      </c>
      <c r="BI22" s="31">
        <v>18601</v>
      </c>
      <c r="BJ22" s="31">
        <v>16253</v>
      </c>
      <c r="BK22" s="31">
        <v>13650</v>
      </c>
      <c r="BL22" s="31">
        <v>11487</v>
      </c>
      <c r="BM22" s="31">
        <v>13458</v>
      </c>
      <c r="BN22" s="31">
        <v>16619</v>
      </c>
      <c r="BO22" s="31">
        <v>11435</v>
      </c>
      <c r="BP22" s="32">
        <v>181680</v>
      </c>
      <c r="BQ22" s="31">
        <v>10783</v>
      </c>
      <c r="BR22" s="31">
        <v>15427</v>
      </c>
      <c r="BS22" s="31">
        <v>13057</v>
      </c>
      <c r="BT22" s="31">
        <v>16028</v>
      </c>
      <c r="BU22" s="31">
        <v>13798</v>
      </c>
      <c r="BV22" s="31">
        <v>12088</v>
      </c>
      <c r="BW22" s="31">
        <v>13653</v>
      </c>
      <c r="BX22" s="31">
        <v>12942</v>
      </c>
      <c r="BY22" s="31">
        <v>14244</v>
      </c>
      <c r="BZ22" s="31">
        <v>13899</v>
      </c>
      <c r="CA22" s="31">
        <v>16998</v>
      </c>
      <c r="CB22" s="31">
        <v>14930</v>
      </c>
      <c r="CC22" s="32">
        <v>167847</v>
      </c>
      <c r="CD22" s="31">
        <v>19712</v>
      </c>
      <c r="CE22" s="31">
        <v>12317</v>
      </c>
      <c r="CF22" s="31">
        <v>13244</v>
      </c>
      <c r="CG22" s="31">
        <v>13955</v>
      </c>
      <c r="CH22" s="31">
        <v>15090</v>
      </c>
      <c r="CI22" s="31">
        <v>12812</v>
      </c>
      <c r="CJ22" s="31">
        <v>15776</v>
      </c>
      <c r="CK22" s="31">
        <v>11641</v>
      </c>
      <c r="CL22" s="31">
        <v>11748</v>
      </c>
      <c r="CM22" s="31">
        <v>19259</v>
      </c>
      <c r="CN22" s="31">
        <v>13179</v>
      </c>
      <c r="CO22" s="31">
        <v>14503</v>
      </c>
      <c r="CP22" s="32">
        <v>173236</v>
      </c>
      <c r="CQ22" s="31">
        <v>18609</v>
      </c>
      <c r="CR22" s="31">
        <v>17262</v>
      </c>
      <c r="CS22" s="31">
        <v>16536</v>
      </c>
      <c r="CT22" s="31">
        <v>11540</v>
      </c>
      <c r="CU22" s="31">
        <v>17349</v>
      </c>
      <c r="CV22" s="31">
        <v>17580</v>
      </c>
      <c r="CW22" s="31">
        <v>15649</v>
      </c>
      <c r="CX22" s="31">
        <v>18400</v>
      </c>
      <c r="CY22" s="31">
        <v>18113</v>
      </c>
      <c r="CZ22" s="31">
        <v>18619</v>
      </c>
      <c r="DA22" s="31">
        <v>17585</v>
      </c>
      <c r="DB22" s="31">
        <v>11519</v>
      </c>
      <c r="DC22" s="32">
        <v>198761</v>
      </c>
      <c r="DD22" s="31">
        <v>14096</v>
      </c>
      <c r="DE22" s="31">
        <v>19195</v>
      </c>
      <c r="DF22" s="31">
        <v>14422</v>
      </c>
      <c r="DG22" s="31">
        <v>19303</v>
      </c>
      <c r="DH22" s="31">
        <v>17075</v>
      </c>
      <c r="DI22" s="31">
        <v>14325</v>
      </c>
      <c r="DJ22" s="31">
        <v>19181</v>
      </c>
      <c r="DK22" s="31">
        <v>19052</v>
      </c>
      <c r="DL22" s="31">
        <v>14318</v>
      </c>
      <c r="DM22" s="31">
        <v>10829</v>
      </c>
      <c r="DN22" s="31">
        <v>19277</v>
      </c>
      <c r="DO22" s="31">
        <v>19134</v>
      </c>
      <c r="DP22" s="32">
        <v>200207</v>
      </c>
      <c r="DQ22" s="31">
        <v>17782</v>
      </c>
      <c r="DR22" s="31">
        <v>16269</v>
      </c>
      <c r="DS22" s="31">
        <v>17435</v>
      </c>
      <c r="DT22" s="31">
        <v>18714</v>
      </c>
      <c r="DU22" s="31">
        <v>11994</v>
      </c>
      <c r="DV22" s="31">
        <v>12387</v>
      </c>
      <c r="DW22" s="31">
        <v>19036</v>
      </c>
      <c r="DX22" s="31">
        <v>12132</v>
      </c>
      <c r="DY22" s="31">
        <v>11980</v>
      </c>
      <c r="DZ22" s="31">
        <v>11845</v>
      </c>
      <c r="EA22" s="31">
        <v>17313</v>
      </c>
      <c r="EB22" s="31">
        <v>19947</v>
      </c>
      <c r="EC22" s="32">
        <v>186834</v>
      </c>
      <c r="ED22" s="31">
        <v>18114</v>
      </c>
      <c r="EE22" s="31">
        <v>19309</v>
      </c>
      <c r="EF22" s="31">
        <v>12473</v>
      </c>
      <c r="EG22" s="31">
        <v>14403</v>
      </c>
      <c r="EH22" s="31">
        <v>11654</v>
      </c>
      <c r="EI22" s="31">
        <v>13575</v>
      </c>
      <c r="EJ22" s="31">
        <v>13012</v>
      </c>
      <c r="EK22" s="31">
        <v>17871</v>
      </c>
      <c r="EL22" s="31">
        <v>14681</v>
      </c>
      <c r="EM22" s="31">
        <v>12840</v>
      </c>
      <c r="EN22" s="31">
        <v>10058</v>
      </c>
      <c r="EO22" s="31">
        <v>18351</v>
      </c>
      <c r="EP22" s="32">
        <v>176341</v>
      </c>
    </row>
    <row r="23" spans="3:147" x14ac:dyDescent="0.3">
      <c r="C23" s="2" t="s">
        <v>515</v>
      </c>
      <c r="D23" s="15">
        <f>(D21-D22)</f>
        <v>28978549.75</v>
      </c>
      <c r="E23" s="15">
        <f t="shared" ref="E23:I23" si="527">(E21-E22)</f>
        <v>28610656.32</v>
      </c>
      <c r="F23" s="15">
        <f t="shared" si="527"/>
        <v>8597001.6799999997</v>
      </c>
      <c r="G23" s="15">
        <f t="shared" si="527"/>
        <v>25226893.98</v>
      </c>
      <c r="H23" s="15">
        <f t="shared" si="527"/>
        <v>21865567.16</v>
      </c>
      <c r="I23" s="15">
        <f t="shared" si="527"/>
        <v>10336694.039999999</v>
      </c>
      <c r="J23" s="15">
        <f t="shared" ref="J23" si="528">(J21-J22)</f>
        <v>16571293.02</v>
      </c>
      <c r="K23" s="15">
        <f t="shared" ref="K23" si="529">(K21-K22)</f>
        <v>7594402.2599999998</v>
      </c>
      <c r="L23" s="15">
        <f t="shared" ref="L23" si="530">(L21-L22)</f>
        <v>11479193.84</v>
      </c>
      <c r="M23" s="15">
        <f t="shared" ref="M23:N23" si="531">(M21-M22)</f>
        <v>22797174.640000001</v>
      </c>
      <c r="N23" s="15">
        <f t="shared" si="531"/>
        <v>8771952.0800000001</v>
      </c>
      <c r="O23" s="15">
        <f t="shared" ref="O23" si="532">(O21-O22)</f>
        <v>24289436.460000001</v>
      </c>
      <c r="P23" s="15">
        <f t="shared" ref="P23" si="533">(P21-P22)</f>
        <v>215118815.23000002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8">
        <v>0</v>
      </c>
      <c r="AD23" s="15"/>
      <c r="AE23" s="15"/>
      <c r="AF23" s="15"/>
      <c r="AG23" s="15"/>
      <c r="AH23" s="15"/>
      <c r="AI23" s="15"/>
      <c r="AJ23" s="34"/>
      <c r="AK23" s="34"/>
      <c r="AL23" s="34"/>
      <c r="AM23" s="34"/>
      <c r="AN23" s="34"/>
      <c r="AO23" s="34"/>
      <c r="AP23" s="32">
        <v>0</v>
      </c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2">
        <v>0</v>
      </c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2">
        <v>0</v>
      </c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2">
        <v>0</v>
      </c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2">
        <v>0</v>
      </c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2">
        <v>0</v>
      </c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2">
        <v>0</v>
      </c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2">
        <v>0</v>
      </c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2">
        <v>0</v>
      </c>
    </row>
    <row r="24" spans="3:147" x14ac:dyDescent="0.3">
      <c r="C24" s="2" t="s">
        <v>516</v>
      </c>
      <c r="D24" s="15"/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8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8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2">
        <v>0</v>
      </c>
      <c r="AQ24" s="34">
        <v>0</v>
      </c>
      <c r="AR24" s="34">
        <v>0</v>
      </c>
      <c r="AS24" s="34">
        <v>0</v>
      </c>
      <c r="AT24" s="34">
        <v>0</v>
      </c>
      <c r="AU24" s="34">
        <v>0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4">
        <v>0</v>
      </c>
      <c r="BB24" s="34">
        <v>0</v>
      </c>
      <c r="BC24" s="32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34">
        <v>0</v>
      </c>
      <c r="BJ24" s="34">
        <v>0</v>
      </c>
      <c r="BK24" s="34">
        <v>0</v>
      </c>
      <c r="BL24" s="34">
        <v>0</v>
      </c>
      <c r="BM24" s="34">
        <v>0</v>
      </c>
      <c r="BN24" s="34">
        <v>0</v>
      </c>
      <c r="BO24" s="34">
        <v>0</v>
      </c>
      <c r="BP24" s="32">
        <v>0</v>
      </c>
      <c r="BQ24" s="34">
        <v>0</v>
      </c>
      <c r="BR24" s="34">
        <v>0</v>
      </c>
      <c r="BS24" s="34">
        <v>0</v>
      </c>
      <c r="BT24" s="34">
        <v>0</v>
      </c>
      <c r="BU24" s="34">
        <v>0</v>
      </c>
      <c r="BV24" s="34">
        <v>0</v>
      </c>
      <c r="BW24" s="34">
        <v>0</v>
      </c>
      <c r="BX24" s="34">
        <v>0</v>
      </c>
      <c r="BY24" s="34">
        <v>0</v>
      </c>
      <c r="BZ24" s="34">
        <v>0</v>
      </c>
      <c r="CA24" s="34">
        <v>0</v>
      </c>
      <c r="CB24" s="34">
        <v>0</v>
      </c>
      <c r="CC24" s="32">
        <v>0</v>
      </c>
      <c r="CD24" s="34">
        <v>0</v>
      </c>
      <c r="CE24" s="34">
        <v>0</v>
      </c>
      <c r="CF24" s="34">
        <v>0</v>
      </c>
      <c r="CG24" s="34">
        <v>0</v>
      </c>
      <c r="CH24" s="34">
        <v>0</v>
      </c>
      <c r="CI24" s="34">
        <v>0</v>
      </c>
      <c r="CJ24" s="34">
        <v>0</v>
      </c>
      <c r="CK24" s="34">
        <v>0</v>
      </c>
      <c r="CL24" s="34">
        <v>0</v>
      </c>
      <c r="CM24" s="34">
        <v>0</v>
      </c>
      <c r="CN24" s="34">
        <v>0</v>
      </c>
      <c r="CO24" s="34">
        <v>0</v>
      </c>
      <c r="CP24" s="32">
        <v>0</v>
      </c>
      <c r="CQ24" s="34">
        <v>0</v>
      </c>
      <c r="CR24" s="34">
        <v>0</v>
      </c>
      <c r="CS24" s="34">
        <v>0</v>
      </c>
      <c r="CT24" s="34">
        <v>0</v>
      </c>
      <c r="CU24" s="34">
        <v>0</v>
      </c>
      <c r="CV24" s="34">
        <v>0</v>
      </c>
      <c r="CW24" s="34">
        <v>0</v>
      </c>
      <c r="CX24" s="34">
        <v>0</v>
      </c>
      <c r="CY24" s="34">
        <v>0</v>
      </c>
      <c r="CZ24" s="34">
        <v>0</v>
      </c>
      <c r="DA24" s="34">
        <v>0</v>
      </c>
      <c r="DB24" s="34">
        <v>0</v>
      </c>
      <c r="DC24" s="32">
        <v>0</v>
      </c>
      <c r="DD24" s="34">
        <v>0</v>
      </c>
      <c r="DE24" s="34">
        <v>0</v>
      </c>
      <c r="DF24" s="34">
        <v>0</v>
      </c>
      <c r="DG24" s="34">
        <v>0</v>
      </c>
      <c r="DH24" s="34">
        <v>0</v>
      </c>
      <c r="DI24" s="34">
        <v>0</v>
      </c>
      <c r="DJ24" s="34">
        <v>0</v>
      </c>
      <c r="DK24" s="34">
        <v>0</v>
      </c>
      <c r="DL24" s="34">
        <v>0</v>
      </c>
      <c r="DM24" s="34">
        <v>0</v>
      </c>
      <c r="DN24" s="34">
        <v>0</v>
      </c>
      <c r="DO24" s="34">
        <v>0</v>
      </c>
      <c r="DP24" s="32">
        <v>0</v>
      </c>
      <c r="DQ24" s="34">
        <v>0</v>
      </c>
      <c r="DR24" s="34">
        <v>0</v>
      </c>
      <c r="DS24" s="34">
        <v>0</v>
      </c>
      <c r="DT24" s="34">
        <v>0</v>
      </c>
      <c r="DU24" s="34">
        <v>0</v>
      </c>
      <c r="DV24" s="34">
        <v>0</v>
      </c>
      <c r="DW24" s="34">
        <v>0</v>
      </c>
      <c r="DX24" s="34">
        <v>0</v>
      </c>
      <c r="DY24" s="34">
        <v>0</v>
      </c>
      <c r="DZ24" s="34">
        <v>0</v>
      </c>
      <c r="EA24" s="34">
        <v>0</v>
      </c>
      <c r="EB24" s="34">
        <v>0</v>
      </c>
      <c r="EC24" s="32">
        <v>0</v>
      </c>
      <c r="ED24" s="34">
        <v>0</v>
      </c>
      <c r="EE24" s="34">
        <v>0</v>
      </c>
      <c r="EF24" s="34">
        <v>0</v>
      </c>
      <c r="EG24" s="34">
        <v>0</v>
      </c>
      <c r="EH24" s="34">
        <v>0</v>
      </c>
      <c r="EI24" s="34">
        <v>0</v>
      </c>
      <c r="EJ24" s="34">
        <v>0</v>
      </c>
      <c r="EK24" s="34">
        <v>0</v>
      </c>
      <c r="EL24" s="34">
        <v>0</v>
      </c>
      <c r="EM24" s="34">
        <v>0</v>
      </c>
      <c r="EN24" s="34">
        <v>0</v>
      </c>
      <c r="EO24" s="34">
        <v>0</v>
      </c>
      <c r="EP24" s="32">
        <v>0</v>
      </c>
    </row>
    <row r="25" spans="3:147" x14ac:dyDescent="0.3">
      <c r="C25" s="42" t="s">
        <v>517</v>
      </c>
      <c r="D25" s="43">
        <f>(D23-D24)</f>
        <v>28978549.75</v>
      </c>
      <c r="E25" s="43">
        <f t="shared" ref="E25:BP25" si="534">(E23-E24)</f>
        <v>28610656.32</v>
      </c>
      <c r="F25" s="43">
        <f t="shared" si="534"/>
        <v>8597001.6799999997</v>
      </c>
      <c r="G25" s="43">
        <f t="shared" si="534"/>
        <v>25226893.98</v>
      </c>
      <c r="H25" s="43">
        <f t="shared" si="534"/>
        <v>21865567.16</v>
      </c>
      <c r="I25" s="43">
        <f t="shared" si="534"/>
        <v>10336694.039999999</v>
      </c>
      <c r="J25" s="43">
        <f t="shared" si="534"/>
        <v>16571293.02</v>
      </c>
      <c r="K25" s="43">
        <f t="shared" si="534"/>
        <v>7594402.2599999998</v>
      </c>
      <c r="L25" s="43">
        <f t="shared" si="534"/>
        <v>11479193.84</v>
      </c>
      <c r="M25" s="43">
        <f t="shared" si="534"/>
        <v>22797174.640000001</v>
      </c>
      <c r="N25" s="43">
        <f t="shared" si="534"/>
        <v>8771952.0800000001</v>
      </c>
      <c r="O25" s="43">
        <f t="shared" si="534"/>
        <v>24289436.460000001</v>
      </c>
      <c r="P25" s="43">
        <f t="shared" si="534"/>
        <v>215118815.23000002</v>
      </c>
      <c r="Q25" s="43">
        <f t="shared" si="534"/>
        <v>0</v>
      </c>
      <c r="R25" s="43">
        <f t="shared" si="534"/>
        <v>0</v>
      </c>
      <c r="S25" s="43">
        <f t="shared" si="534"/>
        <v>0</v>
      </c>
      <c r="T25" s="43">
        <f t="shared" si="534"/>
        <v>0</v>
      </c>
      <c r="U25" s="43">
        <f t="shared" si="534"/>
        <v>0</v>
      </c>
      <c r="V25" s="43">
        <f t="shared" si="534"/>
        <v>0</v>
      </c>
      <c r="W25" s="43">
        <f t="shared" si="534"/>
        <v>0</v>
      </c>
      <c r="X25" s="43">
        <f t="shared" si="534"/>
        <v>0</v>
      </c>
      <c r="Y25" s="43">
        <f t="shared" si="534"/>
        <v>0</v>
      </c>
      <c r="Z25" s="43">
        <f t="shared" si="534"/>
        <v>0</v>
      </c>
      <c r="AA25" s="43">
        <f t="shared" si="534"/>
        <v>0</v>
      </c>
      <c r="AB25" s="43">
        <f t="shared" si="534"/>
        <v>0</v>
      </c>
      <c r="AC25" s="43">
        <f t="shared" si="534"/>
        <v>0</v>
      </c>
      <c r="AD25" s="43">
        <f t="shared" si="534"/>
        <v>0</v>
      </c>
      <c r="AE25" s="43">
        <f t="shared" si="534"/>
        <v>0</v>
      </c>
      <c r="AF25" s="43">
        <f t="shared" si="534"/>
        <v>0</v>
      </c>
      <c r="AG25" s="43">
        <f t="shared" si="534"/>
        <v>0</v>
      </c>
      <c r="AH25" s="43">
        <f t="shared" si="534"/>
        <v>0</v>
      </c>
      <c r="AI25" s="43">
        <f t="shared" si="534"/>
        <v>0</v>
      </c>
      <c r="AJ25" s="43">
        <f t="shared" si="534"/>
        <v>0</v>
      </c>
      <c r="AK25" s="43">
        <f t="shared" si="534"/>
        <v>0</v>
      </c>
      <c r="AL25" s="43">
        <f t="shared" si="534"/>
        <v>0</v>
      </c>
      <c r="AM25" s="43">
        <f t="shared" si="534"/>
        <v>0</v>
      </c>
      <c r="AN25" s="43">
        <f t="shared" si="534"/>
        <v>0</v>
      </c>
      <c r="AO25" s="43">
        <f t="shared" si="534"/>
        <v>0</v>
      </c>
      <c r="AP25" s="43">
        <f t="shared" si="534"/>
        <v>0</v>
      </c>
      <c r="AQ25" s="43">
        <f t="shared" si="534"/>
        <v>0</v>
      </c>
      <c r="AR25" s="43">
        <f t="shared" si="534"/>
        <v>0</v>
      </c>
      <c r="AS25" s="43">
        <f t="shared" si="534"/>
        <v>0</v>
      </c>
      <c r="AT25" s="43">
        <f t="shared" si="534"/>
        <v>0</v>
      </c>
      <c r="AU25" s="43">
        <f t="shared" si="534"/>
        <v>0</v>
      </c>
      <c r="AV25" s="43">
        <f t="shared" si="534"/>
        <v>0</v>
      </c>
      <c r="AW25" s="43">
        <f t="shared" si="534"/>
        <v>0</v>
      </c>
      <c r="AX25" s="43">
        <f t="shared" si="534"/>
        <v>0</v>
      </c>
      <c r="AY25" s="43">
        <f t="shared" si="534"/>
        <v>0</v>
      </c>
      <c r="AZ25" s="43">
        <f t="shared" si="534"/>
        <v>0</v>
      </c>
      <c r="BA25" s="43">
        <f t="shared" si="534"/>
        <v>0</v>
      </c>
      <c r="BB25" s="43">
        <f t="shared" si="534"/>
        <v>0</v>
      </c>
      <c r="BC25" s="43">
        <f t="shared" si="534"/>
        <v>0</v>
      </c>
      <c r="BD25" s="43">
        <f t="shared" si="534"/>
        <v>0</v>
      </c>
      <c r="BE25" s="43">
        <f t="shared" si="534"/>
        <v>0</v>
      </c>
      <c r="BF25" s="43">
        <f t="shared" si="534"/>
        <v>0</v>
      </c>
      <c r="BG25" s="43">
        <f t="shared" si="534"/>
        <v>0</v>
      </c>
      <c r="BH25" s="43">
        <f t="shared" si="534"/>
        <v>0</v>
      </c>
      <c r="BI25" s="43">
        <f t="shared" si="534"/>
        <v>0</v>
      </c>
      <c r="BJ25" s="43">
        <f t="shared" si="534"/>
        <v>0</v>
      </c>
      <c r="BK25" s="43">
        <f t="shared" si="534"/>
        <v>0</v>
      </c>
      <c r="BL25" s="43">
        <f t="shared" si="534"/>
        <v>0</v>
      </c>
      <c r="BM25" s="43">
        <f t="shared" si="534"/>
        <v>0</v>
      </c>
      <c r="BN25" s="43">
        <f t="shared" si="534"/>
        <v>0</v>
      </c>
      <c r="BO25" s="43">
        <f t="shared" si="534"/>
        <v>0</v>
      </c>
      <c r="BP25" s="43">
        <f t="shared" si="534"/>
        <v>0</v>
      </c>
      <c r="BQ25" s="43">
        <f t="shared" ref="BQ25:EB25" si="535">(BQ23-BQ24)</f>
        <v>0</v>
      </c>
      <c r="BR25" s="43">
        <f t="shared" si="535"/>
        <v>0</v>
      </c>
      <c r="BS25" s="43">
        <f t="shared" si="535"/>
        <v>0</v>
      </c>
      <c r="BT25" s="43">
        <f t="shared" si="535"/>
        <v>0</v>
      </c>
      <c r="BU25" s="43">
        <f t="shared" si="535"/>
        <v>0</v>
      </c>
      <c r="BV25" s="43">
        <f t="shared" si="535"/>
        <v>0</v>
      </c>
      <c r="BW25" s="43">
        <f t="shared" si="535"/>
        <v>0</v>
      </c>
      <c r="BX25" s="43">
        <f t="shared" si="535"/>
        <v>0</v>
      </c>
      <c r="BY25" s="43">
        <f t="shared" si="535"/>
        <v>0</v>
      </c>
      <c r="BZ25" s="43">
        <f t="shared" si="535"/>
        <v>0</v>
      </c>
      <c r="CA25" s="43">
        <f t="shared" si="535"/>
        <v>0</v>
      </c>
      <c r="CB25" s="43">
        <f t="shared" si="535"/>
        <v>0</v>
      </c>
      <c r="CC25" s="43">
        <f t="shared" si="535"/>
        <v>0</v>
      </c>
      <c r="CD25" s="43">
        <f t="shared" si="535"/>
        <v>0</v>
      </c>
      <c r="CE25" s="43">
        <f t="shared" si="535"/>
        <v>0</v>
      </c>
      <c r="CF25" s="43">
        <f t="shared" si="535"/>
        <v>0</v>
      </c>
      <c r="CG25" s="43">
        <f t="shared" si="535"/>
        <v>0</v>
      </c>
      <c r="CH25" s="43">
        <f t="shared" si="535"/>
        <v>0</v>
      </c>
      <c r="CI25" s="43">
        <f t="shared" si="535"/>
        <v>0</v>
      </c>
      <c r="CJ25" s="43">
        <f t="shared" si="535"/>
        <v>0</v>
      </c>
      <c r="CK25" s="43">
        <f t="shared" si="535"/>
        <v>0</v>
      </c>
      <c r="CL25" s="43">
        <f t="shared" si="535"/>
        <v>0</v>
      </c>
      <c r="CM25" s="43">
        <f t="shared" si="535"/>
        <v>0</v>
      </c>
      <c r="CN25" s="43">
        <f t="shared" si="535"/>
        <v>0</v>
      </c>
      <c r="CO25" s="43">
        <f t="shared" si="535"/>
        <v>0</v>
      </c>
      <c r="CP25" s="43">
        <f t="shared" si="535"/>
        <v>0</v>
      </c>
      <c r="CQ25" s="43">
        <f t="shared" si="535"/>
        <v>0</v>
      </c>
      <c r="CR25" s="43">
        <f t="shared" si="535"/>
        <v>0</v>
      </c>
      <c r="CS25" s="43">
        <f t="shared" si="535"/>
        <v>0</v>
      </c>
      <c r="CT25" s="43">
        <f t="shared" si="535"/>
        <v>0</v>
      </c>
      <c r="CU25" s="43">
        <f t="shared" si="535"/>
        <v>0</v>
      </c>
      <c r="CV25" s="43">
        <f t="shared" si="535"/>
        <v>0</v>
      </c>
      <c r="CW25" s="43">
        <f t="shared" si="535"/>
        <v>0</v>
      </c>
      <c r="CX25" s="43">
        <f t="shared" si="535"/>
        <v>0</v>
      </c>
      <c r="CY25" s="43">
        <f t="shared" si="535"/>
        <v>0</v>
      </c>
      <c r="CZ25" s="43">
        <f t="shared" si="535"/>
        <v>0</v>
      </c>
      <c r="DA25" s="43">
        <f t="shared" si="535"/>
        <v>0</v>
      </c>
      <c r="DB25" s="43">
        <f t="shared" si="535"/>
        <v>0</v>
      </c>
      <c r="DC25" s="43">
        <f t="shared" si="535"/>
        <v>0</v>
      </c>
      <c r="DD25" s="43">
        <f t="shared" si="535"/>
        <v>0</v>
      </c>
      <c r="DE25" s="43">
        <f t="shared" si="535"/>
        <v>0</v>
      </c>
      <c r="DF25" s="43">
        <f t="shared" si="535"/>
        <v>0</v>
      </c>
      <c r="DG25" s="43">
        <f t="shared" si="535"/>
        <v>0</v>
      </c>
      <c r="DH25" s="43">
        <f t="shared" si="535"/>
        <v>0</v>
      </c>
      <c r="DI25" s="43">
        <f t="shared" si="535"/>
        <v>0</v>
      </c>
      <c r="DJ25" s="43">
        <f t="shared" si="535"/>
        <v>0</v>
      </c>
      <c r="DK25" s="43">
        <f t="shared" si="535"/>
        <v>0</v>
      </c>
      <c r="DL25" s="43">
        <f t="shared" si="535"/>
        <v>0</v>
      </c>
      <c r="DM25" s="43">
        <f t="shared" si="535"/>
        <v>0</v>
      </c>
      <c r="DN25" s="43">
        <f t="shared" si="535"/>
        <v>0</v>
      </c>
      <c r="DO25" s="43">
        <f t="shared" si="535"/>
        <v>0</v>
      </c>
      <c r="DP25" s="43">
        <f t="shared" si="535"/>
        <v>0</v>
      </c>
      <c r="DQ25" s="43">
        <f t="shared" si="535"/>
        <v>0</v>
      </c>
      <c r="DR25" s="43">
        <f t="shared" si="535"/>
        <v>0</v>
      </c>
      <c r="DS25" s="43">
        <f t="shared" si="535"/>
        <v>0</v>
      </c>
      <c r="DT25" s="43">
        <f t="shared" si="535"/>
        <v>0</v>
      </c>
      <c r="DU25" s="43">
        <f t="shared" si="535"/>
        <v>0</v>
      </c>
      <c r="DV25" s="43">
        <f t="shared" si="535"/>
        <v>0</v>
      </c>
      <c r="DW25" s="43">
        <f t="shared" si="535"/>
        <v>0</v>
      </c>
      <c r="DX25" s="43">
        <f t="shared" si="535"/>
        <v>0</v>
      </c>
      <c r="DY25" s="43">
        <f t="shared" si="535"/>
        <v>0</v>
      </c>
      <c r="DZ25" s="43">
        <f t="shared" si="535"/>
        <v>0</v>
      </c>
      <c r="EA25" s="43">
        <f t="shared" si="535"/>
        <v>0</v>
      </c>
      <c r="EB25" s="43">
        <f t="shared" si="535"/>
        <v>0</v>
      </c>
      <c r="EC25" s="43">
        <f t="shared" ref="EC25:EP25" si="536">(EC23-EC24)</f>
        <v>0</v>
      </c>
      <c r="ED25" s="43">
        <f t="shared" si="536"/>
        <v>0</v>
      </c>
      <c r="EE25" s="43">
        <f t="shared" si="536"/>
        <v>0</v>
      </c>
      <c r="EF25" s="43">
        <f t="shared" si="536"/>
        <v>0</v>
      </c>
      <c r="EG25" s="43">
        <f t="shared" si="536"/>
        <v>0</v>
      </c>
      <c r="EH25" s="43">
        <f t="shared" si="536"/>
        <v>0</v>
      </c>
      <c r="EI25" s="43">
        <f t="shared" si="536"/>
        <v>0</v>
      </c>
      <c r="EJ25" s="43">
        <f t="shared" si="536"/>
        <v>0</v>
      </c>
      <c r="EK25" s="43">
        <f t="shared" si="536"/>
        <v>0</v>
      </c>
      <c r="EL25" s="43">
        <f t="shared" si="536"/>
        <v>0</v>
      </c>
      <c r="EM25" s="43">
        <f t="shared" si="536"/>
        <v>0</v>
      </c>
      <c r="EN25" s="43">
        <f t="shared" si="536"/>
        <v>0</v>
      </c>
      <c r="EO25" s="43">
        <f t="shared" si="536"/>
        <v>0</v>
      </c>
      <c r="EP25" s="43">
        <f t="shared" si="536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 Data</vt:lpstr>
      <vt:lpstr>Assignment Score</vt:lpstr>
      <vt:lpstr>Hydropower</vt:lpstr>
      <vt:lpstr>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KUSHAL PAUDEL</cp:lastModifiedBy>
  <dcterms:created xsi:type="dcterms:W3CDTF">2023-02-08T17:48:55Z</dcterms:created>
  <dcterms:modified xsi:type="dcterms:W3CDTF">2025-12-14T13:57:34Z</dcterms:modified>
</cp:coreProperties>
</file>